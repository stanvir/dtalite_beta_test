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worksheets/sheet17.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480" yWindow="615" windowWidth="14910" windowHeight="11250" tabRatio="820" firstSheet="1" activeTab="1"/>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_calc" sheetId="9" r:id="rId8"/>
    <sheet name="Summary sheet" sheetId="7" r:id="rId9"/>
    <sheet name="Y-AllRed" sheetId="10" state="hidden" r:id="rId10"/>
    <sheet name="DetZone" sheetId="11" state="hidden" r:id="rId11"/>
    <sheet name="LAYOUT" sheetId="12" r:id="rId12"/>
    <sheet name="LANES" sheetId="13" r:id="rId13"/>
    <sheet name="VOLUME" sheetId="14" r:id="rId14"/>
    <sheet name="PHASING" sheetId="15" r:id="rId15"/>
    <sheet name="TIMING" sheetId="16" r:id="rId16"/>
    <sheet name="Report" sheetId="17" r:id="rId17"/>
  </sheets>
  <definedNames>
    <definedName name="_xlnm.Print_Area" localSheetId="16">Report!$A$1:$M$48</definedName>
  </definedNames>
  <calcPr calcId="125725"/>
</workbook>
</file>

<file path=xl/calcChain.xml><?xml version="1.0" encoding="utf-8"?>
<calcChain xmlns="http://schemas.openxmlformats.org/spreadsheetml/2006/main">
  <c r="K3" i="17"/>
  <c r="H3"/>
  <c r="E3"/>
  <c r="B3"/>
  <c r="C13"/>
  <c r="D13"/>
  <c r="F13"/>
  <c r="G13"/>
  <c r="I13"/>
  <c r="J13"/>
  <c r="L13"/>
  <c r="M13"/>
  <c r="D9"/>
  <c r="G9"/>
  <c r="J9"/>
  <c r="M9"/>
  <c r="C7"/>
  <c r="D7"/>
  <c r="E7"/>
  <c r="F7"/>
  <c r="G7"/>
  <c r="H7"/>
  <c r="I7"/>
  <c r="J7"/>
  <c r="K7"/>
  <c r="L7"/>
  <c r="M7"/>
  <c r="B7"/>
  <c r="L2"/>
  <c r="A2"/>
  <c r="E42" i="4"/>
  <c r="H42"/>
  <c r="K42"/>
  <c r="N42"/>
  <c r="H4" i="14"/>
  <c r="I4"/>
  <c r="M4"/>
  <c r="N4"/>
  <c r="R4"/>
  <c r="S4"/>
  <c r="W4"/>
  <c r="X4"/>
  <c r="Y4"/>
  <c r="Z4"/>
  <c r="AA4"/>
  <c r="AB4"/>
  <c r="AC4"/>
  <c r="AD4"/>
  <c r="AE4"/>
  <c r="AF4"/>
  <c r="AG4"/>
  <c r="AH4"/>
  <c r="AI4"/>
  <c r="D4"/>
  <c r="K6" i="12"/>
  <c r="K7" s="1"/>
  <c r="J4"/>
  <c r="J7" s="1"/>
  <c r="L5"/>
  <c r="L7" s="1"/>
  <c r="M3"/>
  <c r="M7" s="1"/>
  <c r="B4" i="13"/>
  <c r="C4"/>
  <c r="D4"/>
  <c r="F4"/>
  <c r="G4"/>
  <c r="H4"/>
  <c r="I4"/>
  <c r="K4"/>
  <c r="L4"/>
  <c r="M4"/>
  <c r="N4"/>
  <c r="P4"/>
  <c r="Q4"/>
  <c r="R4"/>
  <c r="S4"/>
  <c r="U4"/>
  <c r="V4"/>
  <c r="W4"/>
  <c r="Y4"/>
  <c r="Z4"/>
  <c r="AB4"/>
  <c r="AC4"/>
  <c r="AE4"/>
  <c r="AF4"/>
  <c r="AH4"/>
  <c r="B5"/>
  <c r="C5"/>
  <c r="D5"/>
  <c r="E5"/>
  <c r="F5"/>
  <c r="G5"/>
  <c r="H5"/>
  <c r="I5"/>
  <c r="J5"/>
  <c r="K5"/>
  <c r="L5"/>
  <c r="M5"/>
  <c r="N5"/>
  <c r="O5"/>
  <c r="P5"/>
  <c r="Q5"/>
  <c r="R5"/>
  <c r="S5"/>
  <c r="T5"/>
  <c r="U5"/>
  <c r="V5"/>
  <c r="W5"/>
  <c r="X5"/>
  <c r="Y5"/>
  <c r="Z5"/>
  <c r="AA5"/>
  <c r="AB5"/>
  <c r="AC5"/>
  <c r="AD5"/>
  <c r="AE5"/>
  <c r="AF5"/>
  <c r="AG5"/>
  <c r="AH5"/>
  <c r="B6"/>
  <c r="C6"/>
  <c r="D6"/>
  <c r="E6"/>
  <c r="F6"/>
  <c r="G6"/>
  <c r="H6"/>
  <c r="I6"/>
  <c r="J6"/>
  <c r="K6"/>
  <c r="L6"/>
  <c r="M6"/>
  <c r="N6"/>
  <c r="O6"/>
  <c r="P6"/>
  <c r="Q6"/>
  <c r="R6"/>
  <c r="S6"/>
  <c r="T6"/>
  <c r="U6"/>
  <c r="V6"/>
  <c r="W6"/>
  <c r="X6"/>
  <c r="Y6"/>
  <c r="Z6"/>
  <c r="AA6"/>
  <c r="AB6"/>
  <c r="AC6"/>
  <c r="AD6"/>
  <c r="AE6"/>
  <c r="AF6"/>
  <c r="AG6"/>
  <c r="AH6"/>
  <c r="B7"/>
  <c r="C7"/>
  <c r="D7"/>
  <c r="E7"/>
  <c r="F7"/>
  <c r="G7"/>
  <c r="H7"/>
  <c r="I7"/>
  <c r="J7"/>
  <c r="K7"/>
  <c r="L7"/>
  <c r="M7"/>
  <c r="N7"/>
  <c r="O7"/>
  <c r="P7"/>
  <c r="Q7"/>
  <c r="R7"/>
  <c r="S7"/>
  <c r="T7"/>
  <c r="U7"/>
  <c r="V7"/>
  <c r="W7"/>
  <c r="X7"/>
  <c r="Y7"/>
  <c r="Z7"/>
  <c r="AA7"/>
  <c r="AB7"/>
  <c r="AC7"/>
  <c r="AD7"/>
  <c r="AE7"/>
  <c r="AF7"/>
  <c r="AG7"/>
  <c r="AH7"/>
  <c r="B8"/>
  <c r="C8"/>
  <c r="D8"/>
  <c r="E8"/>
  <c r="F8"/>
  <c r="G8"/>
  <c r="H8"/>
  <c r="I8"/>
  <c r="J8"/>
  <c r="K8"/>
  <c r="L8"/>
  <c r="M8"/>
  <c r="N8"/>
  <c r="O8"/>
  <c r="P8"/>
  <c r="Q8"/>
  <c r="R8"/>
  <c r="S8"/>
  <c r="T8"/>
  <c r="U8"/>
  <c r="V8"/>
  <c r="W8"/>
  <c r="X8"/>
  <c r="Y8"/>
  <c r="Z8"/>
  <c r="AA8"/>
  <c r="AB8"/>
  <c r="AC8"/>
  <c r="AD8"/>
  <c r="AE8"/>
  <c r="AF8"/>
  <c r="AG8"/>
  <c r="AH8"/>
  <c r="B9"/>
  <c r="C9"/>
  <c r="D9"/>
  <c r="F9"/>
  <c r="G9"/>
  <c r="H9"/>
  <c r="I9"/>
  <c r="K9"/>
  <c r="L9"/>
  <c r="M9"/>
  <c r="N9"/>
  <c r="P9"/>
  <c r="Q9"/>
  <c r="R9"/>
  <c r="S9"/>
  <c r="U9"/>
  <c r="V9"/>
  <c r="W9"/>
  <c r="X9"/>
  <c r="Y9"/>
  <c r="Z9"/>
  <c r="AA9"/>
  <c r="AB9"/>
  <c r="AC9"/>
  <c r="AD9"/>
  <c r="AE9"/>
  <c r="AF9"/>
  <c r="AG9"/>
  <c r="AH9"/>
  <c r="B10"/>
  <c r="C10"/>
  <c r="D10"/>
  <c r="E10"/>
  <c r="F10"/>
  <c r="G10"/>
  <c r="H10"/>
  <c r="I10"/>
  <c r="J10"/>
  <c r="K10"/>
  <c r="L10"/>
  <c r="M10"/>
  <c r="N10"/>
  <c r="O10"/>
  <c r="P10"/>
  <c r="Q10"/>
  <c r="R10"/>
  <c r="S10"/>
  <c r="T10"/>
  <c r="U10"/>
  <c r="V10"/>
  <c r="W10"/>
  <c r="X10"/>
  <c r="Y10"/>
  <c r="Z10"/>
  <c r="AA10"/>
  <c r="AB10"/>
  <c r="AC10"/>
  <c r="AD10"/>
  <c r="AE10"/>
  <c r="AF10"/>
  <c r="AG10"/>
  <c r="AH10"/>
  <c r="B11"/>
  <c r="C11"/>
  <c r="D11"/>
  <c r="E11"/>
  <c r="F11"/>
  <c r="G11"/>
  <c r="H11"/>
  <c r="I11"/>
  <c r="J11"/>
  <c r="K11"/>
  <c r="L11"/>
  <c r="M11"/>
  <c r="N11"/>
  <c r="O11"/>
  <c r="P11"/>
  <c r="Q11"/>
  <c r="R11"/>
  <c r="S11"/>
  <c r="T11"/>
  <c r="U11"/>
  <c r="V11"/>
  <c r="W11"/>
  <c r="X11"/>
  <c r="Y11"/>
  <c r="Z11"/>
  <c r="AA11"/>
  <c r="AB11"/>
  <c r="AC11"/>
  <c r="AD11"/>
  <c r="AE11"/>
  <c r="AF11"/>
  <c r="AG11"/>
  <c r="AH11"/>
  <c r="B12"/>
  <c r="C12"/>
  <c r="F12"/>
  <c r="G12"/>
  <c r="H12"/>
  <c r="K12"/>
  <c r="L12"/>
  <c r="M12"/>
  <c r="P12"/>
  <c r="Q12"/>
  <c r="R12"/>
  <c r="U12"/>
  <c r="V12"/>
  <c r="W12"/>
  <c r="X12"/>
  <c r="Y12"/>
  <c r="Z12"/>
  <c r="AA12"/>
  <c r="AB12"/>
  <c r="AC12"/>
  <c r="AD12"/>
  <c r="AE12"/>
  <c r="AF12"/>
  <c r="AG12"/>
  <c r="AH12"/>
  <c r="B13"/>
  <c r="C13"/>
  <c r="G13"/>
  <c r="H13"/>
  <c r="L13"/>
  <c r="M13"/>
  <c r="Q13"/>
  <c r="R13"/>
  <c r="V13"/>
  <c r="W13"/>
  <c r="X13"/>
  <c r="Y13"/>
  <c r="Z13"/>
  <c r="AA13"/>
  <c r="AB13"/>
  <c r="AC13"/>
  <c r="AD13"/>
  <c r="AE13"/>
  <c r="AF13"/>
  <c r="AG13"/>
  <c r="AH13"/>
  <c r="B14"/>
  <c r="C14"/>
  <c r="G14"/>
  <c r="H14"/>
  <c r="L14"/>
  <c r="M14"/>
  <c r="Q14"/>
  <c r="R14"/>
  <c r="V14"/>
  <c r="W14"/>
  <c r="X14"/>
  <c r="Y14"/>
  <c r="Z14"/>
  <c r="AA14"/>
  <c r="AB14"/>
  <c r="AC14"/>
  <c r="AD14"/>
  <c r="AE14"/>
  <c r="AF14"/>
  <c r="AG14"/>
  <c r="AH14"/>
  <c r="B15"/>
  <c r="C15"/>
  <c r="G15"/>
  <c r="H15"/>
  <c r="L15"/>
  <c r="M15"/>
  <c r="Q15"/>
  <c r="R15"/>
  <c r="V15"/>
  <c r="W15"/>
  <c r="X15"/>
  <c r="Y15"/>
  <c r="Z15"/>
  <c r="AA15"/>
  <c r="AB15"/>
  <c r="AC15"/>
  <c r="AD15"/>
  <c r="AE15"/>
  <c r="AF15"/>
  <c r="AG15"/>
  <c r="AH15"/>
  <c r="B16"/>
  <c r="C16"/>
  <c r="G16"/>
  <c r="H16"/>
  <c r="L16"/>
  <c r="M16"/>
  <c r="Q16"/>
  <c r="R16"/>
  <c r="V16"/>
  <c r="W16"/>
  <c r="X16"/>
  <c r="Y16"/>
  <c r="Z16"/>
  <c r="AA16"/>
  <c r="AB16"/>
  <c r="AC16"/>
  <c r="AD16"/>
  <c r="AE16"/>
  <c r="AF16"/>
  <c r="AG16"/>
  <c r="AH16"/>
  <c r="B17"/>
  <c r="C17"/>
  <c r="G17"/>
  <c r="H17"/>
  <c r="L17"/>
  <c r="M17"/>
  <c r="Q17"/>
  <c r="R17"/>
  <c r="V17"/>
  <c r="W17"/>
  <c r="X17"/>
  <c r="Y17"/>
  <c r="Z17"/>
  <c r="AA17"/>
  <c r="AB17"/>
  <c r="AC17"/>
  <c r="AD17"/>
  <c r="AE17"/>
  <c r="AF17"/>
  <c r="AG17"/>
  <c r="AH17"/>
  <c r="B18"/>
  <c r="C18"/>
  <c r="G18"/>
  <c r="H18"/>
  <c r="L18"/>
  <c r="M18"/>
  <c r="Q18"/>
  <c r="R18"/>
  <c r="V18"/>
  <c r="W18"/>
  <c r="X18"/>
  <c r="Y18"/>
  <c r="Z18"/>
  <c r="AA18"/>
  <c r="AB18"/>
  <c r="AC18"/>
  <c r="AD18"/>
  <c r="AE18"/>
  <c r="AF18"/>
  <c r="AG18"/>
  <c r="AH18"/>
  <c r="B19"/>
  <c r="C19"/>
  <c r="D19"/>
  <c r="E19"/>
  <c r="F19"/>
  <c r="G19"/>
  <c r="H19"/>
  <c r="I19"/>
  <c r="J19"/>
  <c r="K19"/>
  <c r="L19"/>
  <c r="M19"/>
  <c r="N19"/>
  <c r="O19"/>
  <c r="P19"/>
  <c r="Q19"/>
  <c r="R19"/>
  <c r="S19"/>
  <c r="T19"/>
  <c r="U19"/>
  <c r="V19"/>
  <c r="W19"/>
  <c r="X19"/>
  <c r="Y19"/>
  <c r="Z19"/>
  <c r="AA19"/>
  <c r="AB19"/>
  <c r="AC19"/>
  <c r="AD19"/>
  <c r="AE19"/>
  <c r="AF19"/>
  <c r="AG19"/>
  <c r="AH19"/>
  <c r="B20"/>
  <c r="C20"/>
  <c r="D20"/>
  <c r="E20"/>
  <c r="F20"/>
  <c r="G20"/>
  <c r="H20"/>
  <c r="I20"/>
  <c r="J20"/>
  <c r="K20"/>
  <c r="L20"/>
  <c r="M20"/>
  <c r="N20"/>
  <c r="O20"/>
  <c r="P20"/>
  <c r="Q20"/>
  <c r="R20"/>
  <c r="S20"/>
  <c r="T20"/>
  <c r="U20"/>
  <c r="V20"/>
  <c r="W20"/>
  <c r="X20"/>
  <c r="Y20"/>
  <c r="Z20"/>
  <c r="AA20"/>
  <c r="AB20"/>
  <c r="AC20"/>
  <c r="AD20"/>
  <c r="AE20"/>
  <c r="AF20"/>
  <c r="AG20"/>
  <c r="AH20"/>
  <c r="B21"/>
  <c r="C21"/>
  <c r="D21"/>
  <c r="E21"/>
  <c r="F21"/>
  <c r="G21"/>
  <c r="H21"/>
  <c r="I21"/>
  <c r="J21"/>
  <c r="K21"/>
  <c r="L21"/>
  <c r="M21"/>
  <c r="N21"/>
  <c r="O21"/>
  <c r="P21"/>
  <c r="Q21"/>
  <c r="R21"/>
  <c r="S21"/>
  <c r="T21"/>
  <c r="U21"/>
  <c r="V21"/>
  <c r="W21"/>
  <c r="X21"/>
  <c r="Y21"/>
  <c r="Z21"/>
  <c r="AA21"/>
  <c r="AB21"/>
  <c r="AC21"/>
  <c r="AD21"/>
  <c r="AE21"/>
  <c r="AF21"/>
  <c r="AG21"/>
  <c r="AH21"/>
  <c r="B22"/>
  <c r="C22"/>
  <c r="D22"/>
  <c r="F22"/>
  <c r="G22"/>
  <c r="H22"/>
  <c r="I22"/>
  <c r="K22"/>
  <c r="L22"/>
  <c r="M22"/>
  <c r="N22"/>
  <c r="P22"/>
  <c r="Q22"/>
  <c r="R22"/>
  <c r="S22"/>
  <c r="U22"/>
  <c r="V22"/>
  <c r="W22"/>
  <c r="X22"/>
  <c r="Y22"/>
  <c r="Z22"/>
  <c r="AA22"/>
  <c r="AB22"/>
  <c r="AC22"/>
  <c r="AD22"/>
  <c r="AE22"/>
  <c r="AF22"/>
  <c r="AG22"/>
  <c r="AH22"/>
  <c r="B23"/>
  <c r="C23"/>
  <c r="D23"/>
  <c r="E23"/>
  <c r="F23"/>
  <c r="G23"/>
  <c r="H23"/>
  <c r="I23"/>
  <c r="J23"/>
  <c r="K23"/>
  <c r="L23"/>
  <c r="M23"/>
  <c r="N23"/>
  <c r="O23"/>
  <c r="P23"/>
  <c r="Q23"/>
  <c r="R23"/>
  <c r="S23"/>
  <c r="T23"/>
  <c r="U23"/>
  <c r="V23"/>
  <c r="W23"/>
  <c r="X23"/>
  <c r="Y23"/>
  <c r="Z23"/>
  <c r="AA23"/>
  <c r="AB23"/>
  <c r="AC23"/>
  <c r="AD23"/>
  <c r="AE23"/>
  <c r="AF23"/>
  <c r="AG23"/>
  <c r="AH23"/>
  <c r="B24"/>
  <c r="C24"/>
  <c r="G24"/>
  <c r="H24"/>
  <c r="L24"/>
  <c r="M24"/>
  <c r="Q24"/>
  <c r="R24"/>
  <c r="V24"/>
  <c r="W24"/>
  <c r="X24"/>
  <c r="Y24"/>
  <c r="Z24"/>
  <c r="AA24"/>
  <c r="AB24"/>
  <c r="AC24"/>
  <c r="AD24"/>
  <c r="AE24"/>
  <c r="AF24"/>
  <c r="AG24"/>
  <c r="AH24"/>
  <c r="B25"/>
  <c r="C25"/>
  <c r="D25"/>
  <c r="E25"/>
  <c r="F25"/>
  <c r="G25"/>
  <c r="H25"/>
  <c r="I25"/>
  <c r="J25"/>
  <c r="K25"/>
  <c r="L25"/>
  <c r="M25"/>
  <c r="N25"/>
  <c r="O25"/>
  <c r="P25"/>
  <c r="Q25"/>
  <c r="R25"/>
  <c r="S25"/>
  <c r="T25"/>
  <c r="U25"/>
  <c r="V25"/>
  <c r="W25"/>
  <c r="X25"/>
  <c r="Y25"/>
  <c r="Z25"/>
  <c r="AA25"/>
  <c r="AB25"/>
  <c r="AC25"/>
  <c r="AD25"/>
  <c r="AE25"/>
  <c r="AF25"/>
  <c r="AG25"/>
  <c r="AH25"/>
  <c r="B26"/>
  <c r="C26"/>
  <c r="G26"/>
  <c r="H26"/>
  <c r="L26"/>
  <c r="M26"/>
  <c r="Q26"/>
  <c r="R26"/>
  <c r="V26"/>
  <c r="W26"/>
  <c r="X26"/>
  <c r="Y26"/>
  <c r="Z26"/>
  <c r="AA26"/>
  <c r="AB26"/>
  <c r="AC26"/>
  <c r="AD26"/>
  <c r="AE26"/>
  <c r="AF26"/>
  <c r="AG26"/>
  <c r="AH26"/>
  <c r="B27"/>
  <c r="C27"/>
  <c r="D27"/>
  <c r="E27"/>
  <c r="F27"/>
  <c r="G27"/>
  <c r="H27"/>
  <c r="I27"/>
  <c r="J27"/>
  <c r="K27"/>
  <c r="L27"/>
  <c r="M27"/>
  <c r="N27"/>
  <c r="O27"/>
  <c r="P27"/>
  <c r="Q27"/>
  <c r="R27"/>
  <c r="S27"/>
  <c r="T27"/>
  <c r="U27"/>
  <c r="V27"/>
  <c r="W27"/>
  <c r="X27"/>
  <c r="Y27"/>
  <c r="Z27"/>
  <c r="AA27"/>
  <c r="AB27"/>
  <c r="AC27"/>
  <c r="AD27"/>
  <c r="AE27"/>
  <c r="AF27"/>
  <c r="AG27"/>
  <c r="AH27"/>
  <c r="B28"/>
  <c r="C28"/>
  <c r="D28"/>
  <c r="E28"/>
  <c r="F28"/>
  <c r="G28"/>
  <c r="H28"/>
  <c r="I28"/>
  <c r="J28"/>
  <c r="K28"/>
  <c r="L28"/>
  <c r="M28"/>
  <c r="N28"/>
  <c r="O28"/>
  <c r="P28"/>
  <c r="Q28"/>
  <c r="R28"/>
  <c r="S28"/>
  <c r="T28"/>
  <c r="U28"/>
  <c r="V28"/>
  <c r="W28"/>
  <c r="X28"/>
  <c r="Y28"/>
  <c r="Z28"/>
  <c r="AA28"/>
  <c r="AB28"/>
  <c r="AC28"/>
  <c r="AD28"/>
  <c r="AE28"/>
  <c r="AF28"/>
  <c r="AG28"/>
  <c r="AH28"/>
  <c r="B29"/>
  <c r="C29"/>
  <c r="D29"/>
  <c r="E29"/>
  <c r="F29"/>
  <c r="G29"/>
  <c r="H29"/>
  <c r="I29"/>
  <c r="J29"/>
  <c r="K29"/>
  <c r="L29"/>
  <c r="M29"/>
  <c r="N29"/>
  <c r="O29"/>
  <c r="P29"/>
  <c r="Q29"/>
  <c r="R29"/>
  <c r="S29"/>
  <c r="T29"/>
  <c r="U29"/>
  <c r="V29"/>
  <c r="W29"/>
  <c r="X29"/>
  <c r="Y29"/>
  <c r="Z29"/>
  <c r="AA29"/>
  <c r="AB29"/>
  <c r="AC29"/>
  <c r="AD29"/>
  <c r="AE29"/>
  <c r="AF29"/>
  <c r="AG29"/>
  <c r="AH29"/>
  <c r="B30"/>
  <c r="C30"/>
  <c r="D30"/>
  <c r="E30"/>
  <c r="F30"/>
  <c r="G30"/>
  <c r="H30"/>
  <c r="I30"/>
  <c r="J30"/>
  <c r="K30"/>
  <c r="L30"/>
  <c r="M30"/>
  <c r="N30"/>
  <c r="O30"/>
  <c r="P30"/>
  <c r="Q30"/>
  <c r="R30"/>
  <c r="S30"/>
  <c r="T30"/>
  <c r="U30"/>
  <c r="V30"/>
  <c r="W30"/>
  <c r="X30"/>
  <c r="Y30"/>
  <c r="Z30"/>
  <c r="AA30"/>
  <c r="AB30"/>
  <c r="AC30"/>
  <c r="AD30"/>
  <c r="AE30"/>
  <c r="AF30"/>
  <c r="AG30"/>
  <c r="AH30"/>
  <c r="C3"/>
  <c r="G3"/>
  <c r="H3"/>
  <c r="L3"/>
  <c r="M3"/>
  <c r="Q3"/>
  <c r="R3"/>
  <c r="V3"/>
  <c r="W3"/>
  <c r="X3"/>
  <c r="Y3"/>
  <c r="Z3"/>
  <c r="AA3"/>
  <c r="AB3"/>
  <c r="AC3"/>
  <c r="AD3"/>
  <c r="AE3"/>
  <c r="AF3"/>
  <c r="AG3"/>
  <c r="AH3"/>
  <c r="B3"/>
  <c r="A7" i="12" s="1"/>
  <c r="B6" i="15" s="1"/>
  <c r="A16" i="13"/>
  <c r="A17"/>
  <c r="A18"/>
  <c r="A19"/>
  <c r="A20"/>
  <c r="A21"/>
  <c r="A22"/>
  <c r="A23"/>
  <c r="A24"/>
  <c r="A25"/>
  <c r="A26"/>
  <c r="A27"/>
  <c r="A28"/>
  <c r="A29"/>
  <c r="A30"/>
  <c r="A15"/>
  <c r="A14"/>
  <c r="A4"/>
  <c r="A5"/>
  <c r="A6"/>
  <c r="A7"/>
  <c r="A8"/>
  <c r="A9"/>
  <c r="A10"/>
  <c r="A11"/>
  <c r="A12"/>
  <c r="A13"/>
  <c r="A3"/>
  <c r="C2"/>
  <c r="D2"/>
  <c r="E2"/>
  <c r="F2"/>
  <c r="G2"/>
  <c r="H2"/>
  <c r="I2"/>
  <c r="J2"/>
  <c r="K2"/>
  <c r="L2"/>
  <c r="M2"/>
  <c r="N2"/>
  <c r="O2"/>
  <c r="P2"/>
  <c r="Q2"/>
  <c r="R2"/>
  <c r="S2"/>
  <c r="T2"/>
  <c r="U2"/>
  <c r="V2"/>
  <c r="W2"/>
  <c r="X2"/>
  <c r="Y2"/>
  <c r="Z2"/>
  <c r="AA2"/>
  <c r="AB2"/>
  <c r="AC2"/>
  <c r="AD2"/>
  <c r="AE2"/>
  <c r="AF2"/>
  <c r="AG2"/>
  <c r="AH2"/>
  <c r="B2"/>
  <c r="A2"/>
  <c r="E23" i="1"/>
  <c r="E16" i="13" s="1"/>
  <c r="F23" i="1"/>
  <c r="F16" i="13" s="1"/>
  <c r="I23" i="1"/>
  <c r="I16" i="13" s="1"/>
  <c r="J23" i="1"/>
  <c r="J16" i="13" s="1"/>
  <c r="K23" i="1"/>
  <c r="K16" i="13" s="1"/>
  <c r="N23" i="1"/>
  <c r="N16" i="13" s="1"/>
  <c r="O23" i="1"/>
  <c r="O16" i="13" s="1"/>
  <c r="P23" i="1"/>
  <c r="P16" i="13" s="1"/>
  <c r="S23" i="1"/>
  <c r="S16" i="13" s="1"/>
  <c r="T23" i="1"/>
  <c r="T16" i="13" s="1"/>
  <c r="U23" i="1"/>
  <c r="U16" i="13" s="1"/>
  <c r="D23" i="1"/>
  <c r="D16" i="13" s="1"/>
  <c r="Z26" i="4"/>
  <c r="Y27" s="1"/>
  <c r="Y26"/>
  <c r="AA25"/>
  <c r="AA26" s="1"/>
  <c r="AA27" s="1"/>
  <c r="AA28" s="1"/>
  <c r="AA29" s="1"/>
  <c r="AA30" s="1"/>
  <c r="AA31" s="1"/>
  <c r="AA32" s="1"/>
  <c r="AA33" s="1"/>
  <c r="AA34" s="1"/>
  <c r="AA35" s="1"/>
  <c r="AA36" s="1"/>
  <c r="AA24"/>
  <c r="D20"/>
  <c r="C8" i="17" s="1"/>
  <c r="E20" i="4"/>
  <c r="D8" i="17" s="1"/>
  <c r="F20" i="4"/>
  <c r="E8" i="17" s="1"/>
  <c r="G20" i="4"/>
  <c r="F8" i="17" s="1"/>
  <c r="H20" i="4"/>
  <c r="G8" i="17" s="1"/>
  <c r="I20" i="4"/>
  <c r="H8" i="17" s="1"/>
  <c r="J20" i="4"/>
  <c r="I8" i="17" s="1"/>
  <c r="K20" i="4"/>
  <c r="J8" i="17" s="1"/>
  <c r="L20" i="4"/>
  <c r="K8" i="17" s="1"/>
  <c r="M20" i="4"/>
  <c r="L8" i="17" s="1"/>
  <c r="N20" i="4"/>
  <c r="M8" i="17" s="1"/>
  <c r="C20" i="4"/>
  <c r="B8" i="17" s="1"/>
  <c r="Q6" i="8"/>
  <c r="AF4" i="4"/>
  <c r="AF5"/>
  <c r="AF6"/>
  <c r="AF7"/>
  <c r="AF8"/>
  <c r="AF9"/>
  <c r="AF10"/>
  <c r="AF3"/>
  <c r="AE4"/>
  <c r="AE5"/>
  <c r="AE6"/>
  <c r="AE7"/>
  <c r="AE8"/>
  <c r="AE9"/>
  <c r="AE10"/>
  <c r="AE3"/>
  <c r="T38" i="1"/>
  <c r="I11" i="7" s="1"/>
  <c r="I49" s="1"/>
  <c r="O38" i="1"/>
  <c r="A11" i="7" s="1"/>
  <c r="A29" s="1"/>
  <c r="J38" i="1"/>
  <c r="D3" i="7" s="1"/>
  <c r="D21" s="1"/>
  <c r="E38" i="1"/>
  <c r="D18" i="7" s="1"/>
  <c r="D36" s="1"/>
  <c r="E11"/>
  <c r="F10" i="8"/>
  <c r="L9"/>
  <c r="M20"/>
  <c r="F25"/>
  <c r="L7"/>
  <c r="M18"/>
  <c r="F23"/>
  <c r="F8"/>
  <c r="T29" i="1"/>
  <c r="T22" i="13" s="1"/>
  <c r="P18" i="8"/>
  <c r="R22" i="9" s="1"/>
  <c r="O29" i="1"/>
  <c r="D18" i="8" s="1"/>
  <c r="P22" i="9" s="1"/>
  <c r="J29" i="1"/>
  <c r="L6" i="8" s="1"/>
  <c r="V22" i="9" s="1"/>
  <c r="E29" i="1"/>
  <c r="M24" i="8" s="1"/>
  <c r="T22" i="9" s="1"/>
  <c r="D4" i="1"/>
  <c r="AL11" i="6" s="1"/>
  <c r="E4" i="1"/>
  <c r="F4" i="14" s="1"/>
  <c r="F4" i="1"/>
  <c r="G4" i="14" s="1"/>
  <c r="I4" i="1"/>
  <c r="J4" i="14" s="1"/>
  <c r="J4" i="1"/>
  <c r="K4" i="14" s="1"/>
  <c r="K4" i="1"/>
  <c r="M14" i="2" s="1"/>
  <c r="N4" i="1"/>
  <c r="O4" i="14" s="1"/>
  <c r="O4" i="1"/>
  <c r="P4" i="14" s="1"/>
  <c r="P4" i="1"/>
  <c r="Q4" i="14" s="1"/>
  <c r="S4" i="1"/>
  <c r="T4" i="14" s="1"/>
  <c r="T4" i="1"/>
  <c r="U4" i="14" s="1"/>
  <c r="U4" i="1"/>
  <c r="V4" i="14" s="1"/>
  <c r="C52" i="1"/>
  <c r="C12" i="15" s="1"/>
  <c r="E52" i="1"/>
  <c r="E12" i="15" s="1"/>
  <c r="G52" i="1"/>
  <c r="G12" i="15" s="1"/>
  <c r="I52" i="1"/>
  <c r="I12" i="15" s="1"/>
  <c r="C53" i="1"/>
  <c r="C13" i="15" s="1"/>
  <c r="E53" i="1"/>
  <c r="E13" i="15" s="1"/>
  <c r="G53" i="1"/>
  <c r="G13" i="15" s="1"/>
  <c r="I53" i="1"/>
  <c r="I13" i="15" s="1"/>
  <c r="C54" i="1"/>
  <c r="C14" i="15" s="1"/>
  <c r="E54" i="1"/>
  <c r="E14" i="15" s="1"/>
  <c r="G54" i="1"/>
  <c r="G14" i="15" s="1"/>
  <c r="I54" i="1"/>
  <c r="I14" i="15" s="1"/>
  <c r="C55" i="1"/>
  <c r="C15" i="15" s="1"/>
  <c r="E55" i="1"/>
  <c r="E15" i="15" s="1"/>
  <c r="G55" i="1"/>
  <c r="G15" i="15" s="1"/>
  <c r="I55" i="1"/>
  <c r="I15" i="15" s="1"/>
  <c r="C57" i="1"/>
  <c r="C17" i="15" s="1"/>
  <c r="E57" i="1"/>
  <c r="E17" i="15" s="1"/>
  <c r="G57" i="1"/>
  <c r="G17" i="15" s="1"/>
  <c r="I57" i="1"/>
  <c r="I17" i="15" s="1"/>
  <c r="J42" i="1"/>
  <c r="C42"/>
  <c r="D42"/>
  <c r="E42"/>
  <c r="F42"/>
  <c r="G42"/>
  <c r="H42"/>
  <c r="I42"/>
  <c r="B42"/>
  <c r="C30" i="9"/>
  <c r="B43" i="1" s="1"/>
  <c r="H23" i="9"/>
  <c r="D23"/>
  <c r="U33" i="1"/>
  <c r="U26" i="13" s="1"/>
  <c r="T33" i="1"/>
  <c r="T26" i="13" s="1"/>
  <c r="S33" i="1"/>
  <c r="S26" i="13" s="1"/>
  <c r="P33" i="1"/>
  <c r="P26" i="13" s="1"/>
  <c r="O33" i="1"/>
  <c r="O26" i="13" s="1"/>
  <c r="N33" i="1"/>
  <c r="N26" i="13" s="1"/>
  <c r="K33" i="1"/>
  <c r="K26" i="13" s="1"/>
  <c r="J33" i="1"/>
  <c r="J26" i="13" s="1"/>
  <c r="I33" i="1"/>
  <c r="I26" i="13" s="1"/>
  <c r="F33" i="1"/>
  <c r="F26" i="13" s="1"/>
  <c r="E33" i="1"/>
  <c r="E26" i="13" s="1"/>
  <c r="D33" i="1"/>
  <c r="D26" i="13" s="1"/>
  <c r="U31" i="1"/>
  <c r="U24" i="13" s="1"/>
  <c r="T31" i="1"/>
  <c r="G4" i="4" s="1"/>
  <c r="H4" s="1"/>
  <c r="G16" i="17" s="1"/>
  <c r="S31" i="1"/>
  <c r="S24" i="13" s="1"/>
  <c r="P31" i="1"/>
  <c r="P24" i="13" s="1"/>
  <c r="O31" i="1"/>
  <c r="O24" i="13" s="1"/>
  <c r="N31" i="1"/>
  <c r="C4" i="4" s="1"/>
  <c r="B16" i="17" s="1"/>
  <c r="K31" i="1"/>
  <c r="K24" i="13" s="1"/>
  <c r="J31" i="1"/>
  <c r="J24" i="13" s="1"/>
  <c r="I31" i="1"/>
  <c r="L4" i="4" s="1"/>
  <c r="K16" i="17" s="1"/>
  <c r="F31" i="1"/>
  <c r="F24" i="13" s="1"/>
  <c r="E31" i="1"/>
  <c r="E24" i="13" s="1"/>
  <c r="D31" i="1"/>
  <c r="I4" i="4" s="1"/>
  <c r="H16" i="17" s="1"/>
  <c r="U22" i="1"/>
  <c r="U15" i="13" s="1"/>
  <c r="T22" i="1"/>
  <c r="T15" i="13" s="1"/>
  <c r="S22" i="1"/>
  <c r="S15" i="13" s="1"/>
  <c r="P22" i="1"/>
  <c r="P15" i="13" s="1"/>
  <c r="O22" i="1"/>
  <c r="O15" i="13" s="1"/>
  <c r="N22" i="1"/>
  <c r="N15" i="13" s="1"/>
  <c r="K22" i="1"/>
  <c r="K15" i="13" s="1"/>
  <c r="J22" i="1"/>
  <c r="J15" i="13" s="1"/>
  <c r="I22" i="1"/>
  <c r="I15" i="13" s="1"/>
  <c r="F22" i="1"/>
  <c r="F15" i="13" s="1"/>
  <c r="E22" i="1"/>
  <c r="E15" i="13" s="1"/>
  <c r="D22" i="1"/>
  <c r="D15" i="13" s="1"/>
  <c r="T11" i="1"/>
  <c r="R4" i="9" s="1"/>
  <c r="R6" s="1"/>
  <c r="R23" s="1"/>
  <c r="O11" i="1"/>
  <c r="O9" i="13" s="1"/>
  <c r="J11" i="1"/>
  <c r="V4" i="9" s="1"/>
  <c r="V6" s="1"/>
  <c r="E11" i="1"/>
  <c r="E9" i="13" s="1"/>
  <c r="U5" i="1"/>
  <c r="AA9" i="7" s="1"/>
  <c r="T5" i="1"/>
  <c r="T3" i="13" s="1"/>
  <c r="S5" i="1"/>
  <c r="U13" i="6" s="1"/>
  <c r="P5" i="1"/>
  <c r="C3" i="2" s="1"/>
  <c r="O5" i="1"/>
  <c r="C26" i="6" s="1"/>
  <c r="D26" s="1"/>
  <c r="N5" i="1"/>
  <c r="N3" i="13" s="1"/>
  <c r="K5" i="1"/>
  <c r="W4" i="7" s="1"/>
  <c r="J5" i="1"/>
  <c r="J3" i="13" s="1"/>
  <c r="I5" i="1"/>
  <c r="I3" i="13" s="1"/>
  <c r="F5" i="1"/>
  <c r="F3" i="13" s="1"/>
  <c r="E5" i="1"/>
  <c r="E3" i="13" s="1"/>
  <c r="D5" i="1"/>
  <c r="AG6"/>
  <c r="AG4" i="13" s="1"/>
  <c r="AD6" i="1"/>
  <c r="AD4" i="13" s="1"/>
  <c r="AA6" i="1"/>
  <c r="AA4" i="13" s="1"/>
  <c r="X6" i="1"/>
  <c r="X4" i="13" s="1"/>
  <c r="F48" i="2"/>
  <c r="S3" i="4"/>
  <c r="S4" s="1"/>
  <c r="S2"/>
  <c r="N10" i="8"/>
  <c r="M10"/>
  <c r="H22"/>
  <c r="H21"/>
  <c r="AE3" i="7"/>
  <c r="AG3"/>
  <c r="AI3"/>
  <c r="AK3"/>
  <c r="AE1"/>
  <c r="AF1"/>
  <c r="AG1"/>
  <c r="AH1"/>
  <c r="AI1"/>
  <c r="AJ1"/>
  <c r="AK1"/>
  <c r="AD1"/>
  <c r="BE37" i="6"/>
  <c r="BE38" s="1"/>
  <c r="AN37"/>
  <c r="AN38" s="1"/>
  <c r="W52"/>
  <c r="W49"/>
  <c r="W37"/>
  <c r="W38" s="1"/>
  <c r="E37"/>
  <c r="E38" s="1"/>
  <c r="D32" i="4"/>
  <c r="H82" i="7" s="1"/>
  <c r="I82"/>
  <c r="J82"/>
  <c r="K82"/>
  <c r="L82"/>
  <c r="M82"/>
  <c r="N82"/>
  <c r="C32" i="4"/>
  <c r="G82" i="7" s="1"/>
  <c r="D19" i="4"/>
  <c r="G19"/>
  <c r="J19"/>
  <c r="M19"/>
  <c r="N16" i="3"/>
  <c r="M16"/>
  <c r="L16"/>
  <c r="N15"/>
  <c r="M15"/>
  <c r="L15"/>
  <c r="N14"/>
  <c r="M14"/>
  <c r="L14"/>
  <c r="N13"/>
  <c r="M13"/>
  <c r="L13"/>
  <c r="N12"/>
  <c r="M12"/>
  <c r="L12"/>
  <c r="N11"/>
  <c r="M11"/>
  <c r="L11"/>
  <c r="N10"/>
  <c r="M10"/>
  <c r="L10"/>
  <c r="Y36" i="2"/>
  <c r="T45"/>
  <c r="T15" i="1"/>
  <c r="T13" i="13" s="1"/>
  <c r="O15" i="1"/>
  <c r="O13" i="13" s="1"/>
  <c r="J15" i="1"/>
  <c r="J13" i="13" s="1"/>
  <c r="E15" i="1"/>
  <c r="E13" i="13" s="1"/>
  <c r="B7" i="2"/>
  <c r="D7"/>
  <c r="F7"/>
  <c r="H7"/>
  <c r="C31" i="9"/>
  <c r="B44" i="1" s="1"/>
  <c r="Y17" i="7"/>
  <c r="AL6" i="6"/>
  <c r="AL7" s="1"/>
  <c r="J10" i="17" s="1"/>
  <c r="BC11" i="6"/>
  <c r="B6" i="2" l="1"/>
  <c r="B11" s="1"/>
  <c r="U6" i="6"/>
  <c r="U7" s="1"/>
  <c r="G10" i="17" s="1"/>
  <c r="I76" i="7"/>
  <c r="U11" i="6"/>
  <c r="C12"/>
  <c r="C44" s="1"/>
  <c r="F4" i="4"/>
  <c r="E16" i="17" s="1"/>
  <c r="F3" i="2"/>
  <c r="F14" s="1"/>
  <c r="H3"/>
  <c r="H14" s="1"/>
  <c r="G6"/>
  <c r="H12" s="1"/>
  <c r="C57" i="6"/>
  <c r="O6" i="1"/>
  <c r="O4" i="13" s="1"/>
  <c r="U11" i="7"/>
  <c r="C5" i="6"/>
  <c r="D5" s="1"/>
  <c r="C6" i="2"/>
  <c r="D12" s="1"/>
  <c r="P4" i="9"/>
  <c r="P6" s="1"/>
  <c r="P7" s="1"/>
  <c r="P9" s="1"/>
  <c r="F16" i="17"/>
  <c r="M11" i="2"/>
  <c r="AL5" i="6"/>
  <c r="AM5" s="1"/>
  <c r="B3" i="2"/>
  <c r="B14" s="1"/>
  <c r="D3"/>
  <c r="D14" s="1"/>
  <c r="U20" i="6"/>
  <c r="BC26"/>
  <c r="BD26" s="1"/>
  <c r="BD49"/>
  <c r="X4" i="7"/>
  <c r="I6" i="2"/>
  <c r="U49" i="7"/>
  <c r="E3" i="2"/>
  <c r="U12" i="6"/>
  <c r="U44" s="1"/>
  <c r="BC6"/>
  <c r="Z27" i="4"/>
  <c r="B7" i="12"/>
  <c r="E4" i="14"/>
  <c r="B23" i="15"/>
  <c r="B19"/>
  <c r="B15"/>
  <c r="B11"/>
  <c r="B7"/>
  <c r="T24" i="13"/>
  <c r="D24"/>
  <c r="B24" i="15"/>
  <c r="B20"/>
  <c r="B16"/>
  <c r="B12"/>
  <c r="B8"/>
  <c r="B4"/>
  <c r="L4" i="14"/>
  <c r="B25" i="15"/>
  <c r="B21"/>
  <c r="B17"/>
  <c r="B13"/>
  <c r="B9"/>
  <c r="B5"/>
  <c r="G3" i="2"/>
  <c r="J22" i="13"/>
  <c r="B3" i="15"/>
  <c r="B3" i="16" s="1"/>
  <c r="B22" i="15"/>
  <c r="B18"/>
  <c r="B14"/>
  <c r="B10"/>
  <c r="C56" i="6"/>
  <c r="C11"/>
  <c r="D50" s="1"/>
  <c r="F4" i="12"/>
  <c r="I3"/>
  <c r="H5"/>
  <c r="G6"/>
  <c r="S7" i="2"/>
  <c r="Y7" s="1"/>
  <c r="BC56" i="6"/>
  <c r="E6" i="1"/>
  <c r="E4" i="13" s="1"/>
  <c r="AA14" i="4"/>
  <c r="T4" i="9"/>
  <c r="T6" s="1"/>
  <c r="T24" s="1"/>
  <c r="T25" s="1"/>
  <c r="J4" i="4"/>
  <c r="M4"/>
  <c r="D4"/>
  <c r="S3" i="13"/>
  <c r="O3"/>
  <c r="K3"/>
  <c r="I24"/>
  <c r="O22"/>
  <c r="T9"/>
  <c r="AA13" i="7"/>
  <c r="U7" i="2"/>
  <c r="AA7" s="1"/>
  <c r="AL57" i="6"/>
  <c r="I3" i="2"/>
  <c r="AL26" i="6"/>
  <c r="D6" i="2"/>
  <c r="D11" s="1"/>
  <c r="P3" i="13"/>
  <c r="D3"/>
  <c r="N24"/>
  <c r="N21" i="7"/>
  <c r="X17"/>
  <c r="U3" i="13"/>
  <c r="E22"/>
  <c r="J9"/>
  <c r="C32" i="9"/>
  <c r="C33" s="1"/>
  <c r="C13" i="6"/>
  <c r="U9" i="7"/>
  <c r="D49" i="6"/>
  <c r="AA11" i="7"/>
  <c r="Z14" i="4"/>
  <c r="T6" i="1"/>
  <c r="T4" i="13" s="1"/>
  <c r="U26" i="6"/>
  <c r="V49"/>
  <c r="E6" i="2"/>
  <c r="I8"/>
  <c r="F13" s="1"/>
  <c r="V24" i="9"/>
  <c r="V25" s="1"/>
  <c r="V23"/>
  <c r="V7"/>
  <c r="V9" s="1"/>
  <c r="V26"/>
  <c r="AL12" i="6"/>
  <c r="BC5"/>
  <c r="BC57"/>
  <c r="N3" i="7"/>
  <c r="D41"/>
  <c r="O40"/>
  <c r="I59"/>
  <c r="AM8" i="6"/>
  <c r="U21"/>
  <c r="V56"/>
  <c r="V57"/>
  <c r="U18"/>
  <c r="U19"/>
  <c r="R26" i="9"/>
  <c r="E8" i="2"/>
  <c r="B13" s="1"/>
  <c r="R7" i="9"/>
  <c r="R9" s="1"/>
  <c r="R24"/>
  <c r="R25" s="1"/>
  <c r="M13" i="2"/>
  <c r="BC12" i="6"/>
  <c r="AL56"/>
  <c r="O57" i="7"/>
  <c r="N18"/>
  <c r="D56"/>
  <c r="N36"/>
  <c r="S8" i="2"/>
  <c r="Y8" s="1"/>
  <c r="C12" i="4"/>
  <c r="D53" i="6"/>
  <c r="W17" i="7"/>
  <c r="AM49" i="6"/>
  <c r="AC14" i="4"/>
  <c r="F6" i="2"/>
  <c r="U13" i="7"/>
  <c r="C6" i="6"/>
  <c r="S29" i="7"/>
  <c r="O68"/>
  <c r="I29"/>
  <c r="S11"/>
  <c r="BC13" i="6"/>
  <c r="J6" i="1"/>
  <c r="J4" i="13" s="1"/>
  <c r="Y4" i="7"/>
  <c r="H6" i="2"/>
  <c r="AB14" i="4"/>
  <c r="E26" i="6"/>
  <c r="P24" i="9"/>
  <c r="P25" s="1"/>
  <c r="C8" i="2"/>
  <c r="D13" s="1"/>
  <c r="P26" i="9"/>
  <c r="P23"/>
  <c r="M12" i="2"/>
  <c r="U57" i="6"/>
  <c r="U56"/>
  <c r="U5"/>
  <c r="V5" s="1"/>
  <c r="K11" i="7"/>
  <c r="K29"/>
  <c r="E68"/>
  <c r="K49"/>
  <c r="A49"/>
  <c r="AL13" i="6"/>
  <c r="U8" i="2" l="1"/>
  <c r="U11" s="1"/>
  <c r="AL8" i="6"/>
  <c r="K16" i="4" s="1"/>
  <c r="M16" i="2"/>
  <c r="V8" i="6"/>
  <c r="M17" i="2"/>
  <c r="G8"/>
  <c r="H13" s="1"/>
  <c r="M18"/>
  <c r="T23" i="9"/>
  <c r="T7"/>
  <c r="T9" s="1"/>
  <c r="D36" i="6"/>
  <c r="D37" s="1"/>
  <c r="D38" s="1"/>
  <c r="D16" i="2"/>
  <c r="C7"/>
  <c r="J46" i="6"/>
  <c r="M46" s="1"/>
  <c r="C35"/>
  <c r="C36"/>
  <c r="C37" s="1"/>
  <c r="C38" s="1"/>
  <c r="J45"/>
  <c r="J44" s="1"/>
  <c r="J42" s="1"/>
  <c r="F12" i="4"/>
  <c r="M15" i="2"/>
  <c r="N4" i="4"/>
  <c r="M16" i="17" s="1"/>
  <c r="L16"/>
  <c r="E4" i="4"/>
  <c r="D16" i="17" s="1"/>
  <c r="C16"/>
  <c r="K4" i="4"/>
  <c r="J16" i="17" s="1"/>
  <c r="I16"/>
  <c r="V53" i="6"/>
  <c r="T26" i="9"/>
  <c r="T28" s="1"/>
  <c r="S28" s="1"/>
  <c r="AA8" i="2"/>
  <c r="AA9" s="1"/>
  <c r="U9"/>
  <c r="R8"/>
  <c r="X8" s="1"/>
  <c r="W24" i="6"/>
  <c r="W27" s="1"/>
  <c r="BD50"/>
  <c r="BE26"/>
  <c r="Z4" i="7"/>
  <c r="F4" s="1"/>
  <c r="AL36" i="6"/>
  <c r="AL37" s="1"/>
  <c r="AL38" s="1"/>
  <c r="AA10" i="2"/>
  <c r="AS46" i="6"/>
  <c r="AV46" s="1"/>
  <c r="U10" i="2"/>
  <c r="G7"/>
  <c r="T7"/>
  <c r="Z7" s="1"/>
  <c r="F12"/>
  <c r="BC7" i="6"/>
  <c r="M10" i="17" s="1"/>
  <c r="BD8" i="6"/>
  <c r="AM36"/>
  <c r="AM37" s="1"/>
  <c r="AM38" s="1"/>
  <c r="Y28" i="4"/>
  <c r="Z28"/>
  <c r="AS45" i="6"/>
  <c r="AS44" s="1"/>
  <c r="AM26"/>
  <c r="AN26"/>
  <c r="AM50"/>
  <c r="T8" i="2"/>
  <c r="U34" i="6"/>
  <c r="V52" s="1"/>
  <c r="B45" i="1"/>
  <c r="R28" i="9"/>
  <c r="Q28" s="1"/>
  <c r="R27"/>
  <c r="Q27" s="1"/>
  <c r="F81" i="4" s="1"/>
  <c r="Y10" i="2"/>
  <c r="Y9"/>
  <c r="Y11"/>
  <c r="U15" i="7"/>
  <c r="P27" i="9"/>
  <c r="O27" s="1"/>
  <c r="C81" i="4" s="1"/>
  <c r="P28" i="9"/>
  <c r="O28" s="1"/>
  <c r="C7" i="6"/>
  <c r="D8"/>
  <c r="L12" i="4"/>
  <c r="BC44" i="6"/>
  <c r="BD5"/>
  <c r="BC8"/>
  <c r="N16" i="4" s="1"/>
  <c r="AA15" i="7"/>
  <c r="S11" i="2"/>
  <c r="W16" i="6"/>
  <c r="H11" i="2"/>
  <c r="V3" i="9"/>
  <c r="E4" i="7"/>
  <c r="D4"/>
  <c r="P46" i="6"/>
  <c r="L46"/>
  <c r="J43"/>
  <c r="U14"/>
  <c r="E11" i="17" s="1"/>
  <c r="E13" s="1"/>
  <c r="B12" i="2"/>
  <c r="B16" s="1"/>
  <c r="R7"/>
  <c r="D56" i="6"/>
  <c r="C20"/>
  <c r="D48"/>
  <c r="C21"/>
  <c r="C18"/>
  <c r="D57"/>
  <c r="C19"/>
  <c r="AA11" i="2"/>
  <c r="U8" i="6"/>
  <c r="H16" i="4" s="1"/>
  <c r="AL21" i="6"/>
  <c r="AL20"/>
  <c r="AL18"/>
  <c r="AL19"/>
  <c r="AM57"/>
  <c r="AM56"/>
  <c r="U36"/>
  <c r="U37" s="1"/>
  <c r="U38" s="1"/>
  <c r="AB46"/>
  <c r="U35"/>
  <c r="V48" s="1"/>
  <c r="AB45"/>
  <c r="V36"/>
  <c r="V37" s="1"/>
  <c r="V38" s="1"/>
  <c r="E7" i="2"/>
  <c r="BC19" i="6"/>
  <c r="BD57"/>
  <c r="BC20"/>
  <c r="BD56"/>
  <c r="BC21"/>
  <c r="BC18"/>
  <c r="F11" i="2"/>
  <c r="F16" s="1"/>
  <c r="BC36" i="6"/>
  <c r="BC37" s="1"/>
  <c r="BC38" s="1"/>
  <c r="BJ46"/>
  <c r="I7" i="2"/>
  <c r="BD36" i="6"/>
  <c r="BD37" s="1"/>
  <c r="BD38" s="1"/>
  <c r="BJ45"/>
  <c r="Z17" i="7"/>
  <c r="K45" i="6"/>
  <c r="K44" s="1"/>
  <c r="M45"/>
  <c r="M44" s="1"/>
  <c r="L45"/>
  <c r="L44" s="1"/>
  <c r="P45"/>
  <c r="P44" s="1"/>
  <c r="AL44"/>
  <c r="I12" i="4"/>
  <c r="V27" i="9"/>
  <c r="U27" s="1"/>
  <c r="L81" i="4" s="1"/>
  <c r="V28" i="9"/>
  <c r="U28" s="1"/>
  <c r="W26" i="6"/>
  <c r="V50"/>
  <c r="V26"/>
  <c r="C34" i="9"/>
  <c r="B46" i="1"/>
  <c r="S10" i="2"/>
  <c r="S9"/>
  <c r="N45" i="6" l="1"/>
  <c r="N44" s="1"/>
  <c r="N42" s="1"/>
  <c r="T27" i="9"/>
  <c r="S27" s="1"/>
  <c r="I81" i="4" s="1"/>
  <c r="Q45" i="6"/>
  <c r="Q44" s="1"/>
  <c r="J2" i="2"/>
  <c r="F4" s="1"/>
  <c r="F5" s="1"/>
  <c r="O45" i="6"/>
  <c r="O44" s="1"/>
  <c r="H16" i="2"/>
  <c r="O46" i="6"/>
  <c r="C8"/>
  <c r="E16" i="4" s="1"/>
  <c r="D10" i="17"/>
  <c r="Q46" i="6"/>
  <c r="Q42" s="1"/>
  <c r="K46"/>
  <c r="N46"/>
  <c r="B18" i="2"/>
  <c r="O4" i="4"/>
  <c r="O11" s="1"/>
  <c r="V17" i="6"/>
  <c r="AX46"/>
  <c r="W30"/>
  <c r="W31" s="1"/>
  <c r="AT45"/>
  <c r="AT44" s="1"/>
  <c r="F18" i="2"/>
  <c r="AY46" i="6"/>
  <c r="AX45"/>
  <c r="AX44" s="1"/>
  <c r="AX43" s="1"/>
  <c r="AT46"/>
  <c r="AV45"/>
  <c r="AV44" s="1"/>
  <c r="AV43" s="1"/>
  <c r="AZ46"/>
  <c r="AZ45"/>
  <c r="AZ44" s="1"/>
  <c r="AU46"/>
  <c r="AW46"/>
  <c r="AW45"/>
  <c r="AW44" s="1"/>
  <c r="AU45"/>
  <c r="AU44" s="1"/>
  <c r="AY45"/>
  <c r="AY44" s="1"/>
  <c r="Y29" i="4"/>
  <c r="Z29"/>
  <c r="BC34" i="6"/>
  <c r="C34"/>
  <c r="D52" s="1"/>
  <c r="H18" i="2"/>
  <c r="Z8"/>
  <c r="T11"/>
  <c r="T10"/>
  <c r="T9"/>
  <c r="L42" i="6"/>
  <c r="L43"/>
  <c r="AL14"/>
  <c r="O42"/>
  <c r="O43"/>
  <c r="AH46"/>
  <c r="AG46"/>
  <c r="AF46"/>
  <c r="AD46"/>
  <c r="AE46"/>
  <c r="AI46"/>
  <c r="AC46"/>
  <c r="M42"/>
  <c r="M43"/>
  <c r="F17" i="7"/>
  <c r="D17"/>
  <c r="E17"/>
  <c r="T3" i="9"/>
  <c r="AS42" i="6"/>
  <c r="AS43"/>
  <c r="AG45"/>
  <c r="AG44" s="1"/>
  <c r="AI45"/>
  <c r="AI44" s="1"/>
  <c r="AE45"/>
  <c r="AE44" s="1"/>
  <c r="AB44"/>
  <c r="AC45"/>
  <c r="AC44" s="1"/>
  <c r="AH45"/>
  <c r="AH44" s="1"/>
  <c r="AD45"/>
  <c r="AD44" s="1"/>
  <c r="AF45"/>
  <c r="AF44" s="1"/>
  <c r="AN24"/>
  <c r="AN27" s="1"/>
  <c r="AN30" s="1"/>
  <c r="AN31" s="1"/>
  <c r="AN16"/>
  <c r="E24"/>
  <c r="E27" s="1"/>
  <c r="E30" s="1"/>
  <c r="E31" s="1"/>
  <c r="E16"/>
  <c r="AL34"/>
  <c r="BC14"/>
  <c r="B13" i="7"/>
  <c r="P3" i="9"/>
  <c r="B9" i="7"/>
  <c r="B11"/>
  <c r="C35" i="9"/>
  <c r="B47" i="1"/>
  <c r="P43" i="6"/>
  <c r="P42"/>
  <c r="BP45"/>
  <c r="BP44" s="1"/>
  <c r="BQ45"/>
  <c r="BQ44" s="1"/>
  <c r="BN45"/>
  <c r="BN44" s="1"/>
  <c r="BK45"/>
  <c r="BK44" s="1"/>
  <c r="BL45"/>
  <c r="BL44" s="1"/>
  <c r="BO45"/>
  <c r="BO44" s="1"/>
  <c r="BM45"/>
  <c r="BM44" s="1"/>
  <c r="H4" i="2"/>
  <c r="H5" s="1"/>
  <c r="E4"/>
  <c r="E5" s="1"/>
  <c r="B4"/>
  <c r="B5" s="1"/>
  <c r="C4"/>
  <c r="C5" s="1"/>
  <c r="R11"/>
  <c r="R10"/>
  <c r="X7"/>
  <c r="R9"/>
  <c r="K43" i="6"/>
  <c r="K42"/>
  <c r="BE24"/>
  <c r="BE27" s="1"/>
  <c r="BE30" s="1"/>
  <c r="BE31" s="1"/>
  <c r="BE16"/>
  <c r="V10" i="9"/>
  <c r="V11" s="1"/>
  <c r="V19"/>
  <c r="V8"/>
  <c r="R3"/>
  <c r="H13" i="7"/>
  <c r="H9"/>
  <c r="H11"/>
  <c r="BO46" i="6"/>
  <c r="BN46"/>
  <c r="BP46"/>
  <c r="BL46"/>
  <c r="BQ46"/>
  <c r="BM46"/>
  <c r="BK46"/>
  <c r="C14"/>
  <c r="AA12" i="2"/>
  <c r="H15" s="1"/>
  <c r="D18"/>
  <c r="BJ44" i="6"/>
  <c r="Y12" i="2"/>
  <c r="D15" s="1"/>
  <c r="D4" l="1"/>
  <c r="D5" s="1"/>
  <c r="N43" i="6"/>
  <c r="I4" i="2"/>
  <c r="I5" s="1"/>
  <c r="F19" s="1"/>
  <c r="AU43" i="6"/>
  <c r="G4" i="2"/>
  <c r="G5" s="1"/>
  <c r="AL35" i="6"/>
  <c r="AM48" s="1"/>
  <c r="Q43"/>
  <c r="AT43"/>
  <c r="BD53"/>
  <c r="BD52"/>
  <c r="AW42"/>
  <c r="AM53"/>
  <c r="AM52"/>
  <c r="AY42"/>
  <c r="AZ42"/>
  <c r="AW43"/>
  <c r="AX42"/>
  <c r="AV42"/>
  <c r="AT42"/>
  <c r="AZ43"/>
  <c r="AU42"/>
  <c r="AY43"/>
  <c r="AM17"/>
  <c r="H11" i="17"/>
  <c r="H13" s="1"/>
  <c r="BD17" i="6"/>
  <c r="K11" i="17"/>
  <c r="K13" s="1"/>
  <c r="D17" i="6"/>
  <c r="B11" i="17"/>
  <c r="B13" s="1"/>
  <c r="Z30" i="4"/>
  <c r="Y30"/>
  <c r="Z11" i="2"/>
  <c r="Z9"/>
  <c r="Z10"/>
  <c r="T12"/>
  <c r="F17" s="1"/>
  <c r="F21" s="1"/>
  <c r="U12"/>
  <c r="H17" s="1"/>
  <c r="H21" s="1"/>
  <c r="BJ42" i="6"/>
  <c r="BJ43"/>
  <c r="I27" i="2"/>
  <c r="L21" i="17" s="1"/>
  <c r="M22" s="1"/>
  <c r="C27" i="2"/>
  <c r="C21" i="17" s="1"/>
  <c r="D22" s="1"/>
  <c r="D19" i="2"/>
  <c r="E27"/>
  <c r="F21" i="17" s="1"/>
  <c r="G22" s="1"/>
  <c r="B19" i="2"/>
  <c r="BM42" i="6"/>
  <c r="BM43"/>
  <c r="BN42"/>
  <c r="BN43"/>
  <c r="AD42"/>
  <c r="AD43"/>
  <c r="AE43"/>
  <c r="AE42"/>
  <c r="X9" i="2"/>
  <c r="X11"/>
  <c r="X10"/>
  <c r="BO43" i="6"/>
  <c r="BO42"/>
  <c r="AI42"/>
  <c r="AI43"/>
  <c r="R12" i="2"/>
  <c r="B17" s="1"/>
  <c r="B21" s="1"/>
  <c r="S12"/>
  <c r="D17" s="1"/>
  <c r="D21" s="1"/>
  <c r="R19" i="9"/>
  <c r="R10"/>
  <c r="R11" s="1"/>
  <c r="R8"/>
  <c r="G27" i="2"/>
  <c r="I21" i="17" s="1"/>
  <c r="J22" s="1"/>
  <c r="H19" i="2"/>
  <c r="BK42" i="6"/>
  <c r="BK43"/>
  <c r="AF43"/>
  <c r="AF42"/>
  <c r="AB42"/>
  <c r="AB43"/>
  <c r="BQ42"/>
  <c r="BQ43"/>
  <c r="AH43"/>
  <c r="AH42"/>
  <c r="M35" i="4"/>
  <c r="U8" i="9"/>
  <c r="L35" i="4" s="1"/>
  <c r="U11" i="9"/>
  <c r="L36" i="4" s="1"/>
  <c r="M36"/>
  <c r="N36" s="1"/>
  <c r="BL43" i="6"/>
  <c r="BC35" s="1"/>
  <c r="BD48" s="1"/>
  <c r="BL42"/>
  <c r="BP43"/>
  <c r="BP42"/>
  <c r="C36" i="9"/>
  <c r="B48" i="1"/>
  <c r="P19" i="9"/>
  <c r="P8"/>
  <c r="P10"/>
  <c r="P11" s="1"/>
  <c r="AC42" i="6"/>
  <c r="AC43"/>
  <c r="AG42"/>
  <c r="AG43"/>
  <c r="T19" i="9"/>
  <c r="T10"/>
  <c r="T11" s="1"/>
  <c r="T8"/>
  <c r="K26" i="17" l="1"/>
  <c r="N35" i="4"/>
  <c r="M26" i="17" s="1"/>
  <c r="L26"/>
  <c r="Y31" i="4"/>
  <c r="Z31"/>
  <c r="Z12" i="2"/>
  <c r="F15" s="1"/>
  <c r="O11" i="9"/>
  <c r="C36" i="4" s="1"/>
  <c r="D36"/>
  <c r="E36" s="1"/>
  <c r="B49" i="1"/>
  <c r="C37" i="9"/>
  <c r="U49" i="2"/>
  <c r="U50" s="1"/>
  <c r="J18" i="4"/>
  <c r="J33" s="1"/>
  <c r="K33" s="1"/>
  <c r="P17" i="7" s="1"/>
  <c r="AI2"/>
  <c r="AI5" s="1"/>
  <c r="O17" s="1"/>
  <c r="E14" i="1"/>
  <c r="E12" i="13" s="1"/>
  <c r="E42" i="2"/>
  <c r="AA41"/>
  <c r="AE41"/>
  <c r="AE2" i="7"/>
  <c r="AE5" s="1"/>
  <c r="L11" s="1"/>
  <c r="Q49" i="2"/>
  <c r="Q50" s="1"/>
  <c r="D18" i="4"/>
  <c r="D33" s="1"/>
  <c r="E33" s="1"/>
  <c r="L13" i="7" s="1"/>
  <c r="O14" i="1"/>
  <c r="O12" i="13" s="1"/>
  <c r="B37" i="2"/>
  <c r="AG41"/>
  <c r="Y42"/>
  <c r="N22"/>
  <c r="L22"/>
  <c r="X12"/>
  <c r="B15" s="1"/>
  <c r="S11" i="9"/>
  <c r="I36" i="4" s="1"/>
  <c r="J36"/>
  <c r="K36" s="1"/>
  <c r="Q11" i="9"/>
  <c r="F36" i="4" s="1"/>
  <c r="G36"/>
  <c r="H36" s="1"/>
  <c r="G18"/>
  <c r="G35" i="2"/>
  <c r="T14" i="1"/>
  <c r="T12" i="13" s="1"/>
  <c r="AG2" i="7"/>
  <c r="AG5" s="1"/>
  <c r="R11" s="1"/>
  <c r="S49" i="2"/>
  <c r="S50" s="1"/>
  <c r="Y41"/>
  <c r="AG42"/>
  <c r="D30"/>
  <c r="W49"/>
  <c r="W50" s="1"/>
  <c r="AK2" i="7"/>
  <c r="AK5" s="1"/>
  <c r="O4" s="1"/>
  <c r="M18" i="4"/>
  <c r="M33" s="1"/>
  <c r="N33" s="1"/>
  <c r="N4" i="7" s="1"/>
  <c r="J14" i="1"/>
  <c r="J12" i="13" s="1"/>
  <c r="AE42" i="2"/>
  <c r="AA42"/>
  <c r="J35" i="4"/>
  <c r="S8" i="9"/>
  <c r="I35" i="4" s="1"/>
  <c r="D35"/>
  <c r="O8" i="9"/>
  <c r="C35" i="4" s="1"/>
  <c r="Q8" i="9"/>
  <c r="F35" i="4" s="1"/>
  <c r="E26" i="17" s="1"/>
  <c r="G35" i="4"/>
  <c r="K22" i="2"/>
  <c r="D6" i="4"/>
  <c r="J6"/>
  <c r="E3"/>
  <c r="D15" i="17" s="1"/>
  <c r="H6" i="4"/>
  <c r="G6" i="17" s="1"/>
  <c r="N3" i="4"/>
  <c r="M15" i="17" s="1"/>
  <c r="L3" i="4"/>
  <c r="K15" i="17" s="1"/>
  <c r="F6" i="4"/>
  <c r="E6" i="17" s="1"/>
  <c r="L6" i="4"/>
  <c r="K6" i="17" s="1"/>
  <c r="H3" i="4"/>
  <c r="G15" i="17" s="1"/>
  <c r="I6" i="4"/>
  <c r="H6" i="17" s="1"/>
  <c r="C6" i="4"/>
  <c r="B6" i="17" s="1"/>
  <c r="K3" i="4"/>
  <c r="J15" i="17" s="1"/>
  <c r="N6" i="4"/>
  <c r="M6" i="17" s="1"/>
  <c r="E6" i="4"/>
  <c r="D6" i="17" s="1"/>
  <c r="K6" i="4"/>
  <c r="J6" i="17" s="1"/>
  <c r="G6" i="4"/>
  <c r="F3"/>
  <c r="E15" i="17" s="1"/>
  <c r="M6" i="4"/>
  <c r="L6" i="17" s="1"/>
  <c r="M22" i="2"/>
  <c r="H35" i="4" l="1"/>
  <c r="G26" i="17" s="1"/>
  <c r="F26"/>
  <c r="K35" i="4"/>
  <c r="J26" i="17" s="1"/>
  <c r="I26"/>
  <c r="H26"/>
  <c r="J3" i="4"/>
  <c r="I15" i="17" s="1"/>
  <c r="I6"/>
  <c r="G3" i="4"/>
  <c r="F15" i="17" s="1"/>
  <c r="F6"/>
  <c r="D3" i="4"/>
  <c r="C15" i="17" s="1"/>
  <c r="C6"/>
  <c r="E35" i="4"/>
  <c r="D26" i="17" s="1"/>
  <c r="C26"/>
  <c r="B26"/>
  <c r="Z32" i="4"/>
  <c r="Y32"/>
  <c r="R41" i="2"/>
  <c r="T41"/>
  <c r="I10" i="4"/>
  <c r="H9" i="17" s="1"/>
  <c r="L5" i="4"/>
  <c r="K23" i="2"/>
  <c r="B22" s="1"/>
  <c r="E16" i="1"/>
  <c r="F15"/>
  <c r="F13" i="13" s="1"/>
  <c r="B50" i="1"/>
  <c r="C38" i="9"/>
  <c r="M23" i="2"/>
  <c r="F22" s="1"/>
  <c r="K5" i="4"/>
  <c r="C10"/>
  <c r="B9" i="17" s="1"/>
  <c r="G66" i="4"/>
  <c r="F10"/>
  <c r="E9" i="17" s="1"/>
  <c r="F13" i="4"/>
  <c r="D10"/>
  <c r="C9" i="17" s="1"/>
  <c r="D22" i="2"/>
  <c r="L23"/>
  <c r="T42"/>
  <c r="X35" i="4"/>
  <c r="N83" i="7"/>
  <c r="X71" i="4"/>
  <c r="R71"/>
  <c r="R35"/>
  <c r="H83" i="7"/>
  <c r="J10" i="4"/>
  <c r="I9" i="17" s="1"/>
  <c r="N19" i="4"/>
  <c r="T16" i="1"/>
  <c r="U15"/>
  <c r="U13" i="13" s="1"/>
  <c r="E19" i="4"/>
  <c r="H19"/>
  <c r="K19"/>
  <c r="R42" i="2"/>
  <c r="F5" i="4"/>
  <c r="M66"/>
  <c r="L13"/>
  <c r="L10"/>
  <c r="K9" i="17" s="1"/>
  <c r="M10" i="4"/>
  <c r="L9" i="17" s="1"/>
  <c r="G10" i="4"/>
  <c r="F9" i="17" s="1"/>
  <c r="L83" i="7"/>
  <c r="V35" i="4"/>
  <c r="V71"/>
  <c r="H5"/>
  <c r="N5"/>
  <c r="E5"/>
  <c r="J16" i="1"/>
  <c r="K15"/>
  <c r="K13" i="13" s="1"/>
  <c r="N23" i="2"/>
  <c r="H22" s="1"/>
  <c r="P15" i="1"/>
  <c r="P13" i="13" s="1"/>
  <c r="O16" i="1"/>
  <c r="G33" i="4"/>
  <c r="M3"/>
  <c r="J5" l="1"/>
  <c r="I17" i="17" s="1"/>
  <c r="I19" s="1"/>
  <c r="C106" i="4"/>
  <c r="H8"/>
  <c r="H9" s="1"/>
  <c r="G17" i="17"/>
  <c r="N8" i="4"/>
  <c r="N9" s="1"/>
  <c r="M17" i="17"/>
  <c r="M18" s="1"/>
  <c r="M19" s="1"/>
  <c r="L9" i="4"/>
  <c r="K17" i="17"/>
  <c r="K19" s="1"/>
  <c r="K8" i="4"/>
  <c r="K9" s="1"/>
  <c r="J17" i="17"/>
  <c r="J18" s="1"/>
  <c r="J19" s="1"/>
  <c r="F108" i="4"/>
  <c r="D5"/>
  <c r="G5"/>
  <c r="E8"/>
  <c r="E9" s="1"/>
  <c r="D17" i="17"/>
  <c r="F9" i="4"/>
  <c r="E17" i="17"/>
  <c r="E19" s="1"/>
  <c r="L108" i="4"/>
  <c r="L15" i="17"/>
  <c r="Y33" i="4"/>
  <c r="Z33"/>
  <c r="I106"/>
  <c r="U16" i="1"/>
  <c r="U14" i="13" s="1"/>
  <c r="T14"/>
  <c r="L7" i="4"/>
  <c r="L26" s="1"/>
  <c r="K16" i="1"/>
  <c r="K14" i="13" s="1"/>
  <c r="J14"/>
  <c r="P16" i="1"/>
  <c r="P14" i="13" s="1"/>
  <c r="O14"/>
  <c r="F16" i="1"/>
  <c r="F14" i="13" s="1"/>
  <c r="E14"/>
  <c r="AM14" i="6"/>
  <c r="AM16" s="1"/>
  <c r="I16" i="4" s="1"/>
  <c r="J63"/>
  <c r="F23" i="2"/>
  <c r="AM24" i="6"/>
  <c r="AM27" s="1"/>
  <c r="AM30" s="1"/>
  <c r="AM31" s="1"/>
  <c r="AN49"/>
  <c r="F28" i="2"/>
  <c r="H22" i="17" s="1"/>
  <c r="AN52" i="6"/>
  <c r="J65" i="4"/>
  <c r="J70" s="1"/>
  <c r="J74" s="1"/>
  <c r="AL24" i="6"/>
  <c r="AL27" s="1"/>
  <c r="AL30" s="1"/>
  <c r="AL31" s="1"/>
  <c r="F27" i="2"/>
  <c r="H21" i="17" s="1"/>
  <c r="J64" i="4"/>
  <c r="J69" s="1"/>
  <c r="J73" s="1"/>
  <c r="F7"/>
  <c r="T71"/>
  <c r="J83" i="7"/>
  <c r="H91" s="1"/>
  <c r="T35" i="4"/>
  <c r="H33"/>
  <c r="R9" i="7" s="1"/>
  <c r="D64" i="4"/>
  <c r="D69" s="1"/>
  <c r="D73" s="1"/>
  <c r="E52" i="6"/>
  <c r="D63" i="4"/>
  <c r="D14" i="6"/>
  <c r="D16" s="1"/>
  <c r="C16" i="4" s="1"/>
  <c r="E49" i="6"/>
  <c r="D65" i="4"/>
  <c r="D70" s="1"/>
  <c r="D74" s="1"/>
  <c r="B28" i="2"/>
  <c r="B22" i="17" s="1"/>
  <c r="D24" i="6"/>
  <c r="D27" s="1"/>
  <c r="D30" s="1"/>
  <c r="D31" s="1"/>
  <c r="B23" i="2"/>
  <c r="C24" i="6"/>
  <c r="C27" s="1"/>
  <c r="C30" s="1"/>
  <c r="C31" s="1"/>
  <c r="B27" i="2"/>
  <c r="B21" i="17" s="1"/>
  <c r="M65" i="4"/>
  <c r="M70" s="1"/>
  <c r="M74" s="1"/>
  <c r="BD24" i="6"/>
  <c r="BD27" s="1"/>
  <c r="BD30" s="1"/>
  <c r="BD31" s="1"/>
  <c r="H23" i="2"/>
  <c r="BD14" i="6"/>
  <c r="BD16" s="1"/>
  <c r="L16" i="4" s="1"/>
  <c r="BC24" i="6"/>
  <c r="BC27" s="1"/>
  <c r="BC30" s="1"/>
  <c r="BC31" s="1"/>
  <c r="M64" i="4"/>
  <c r="M69" s="1"/>
  <c r="M73" s="1"/>
  <c r="H28" i="2"/>
  <c r="K22" i="17" s="1"/>
  <c r="H27" i="2"/>
  <c r="K21" i="17" s="1"/>
  <c r="M63" i="4"/>
  <c r="BE49" i="6"/>
  <c r="BE52"/>
  <c r="M5" i="4"/>
  <c r="L17" i="17" s="1"/>
  <c r="L19" s="1"/>
  <c r="L91" i="7"/>
  <c r="J91"/>
  <c r="D27" i="2"/>
  <c r="E21" i="17" s="1"/>
  <c r="V29" i="2"/>
  <c r="X27"/>
  <c r="G64" i="4"/>
  <c r="G69" s="1"/>
  <c r="G73" s="1"/>
  <c r="V14" i="6"/>
  <c r="V16" s="1"/>
  <c r="F16" i="4" s="1"/>
  <c r="V24" i="6"/>
  <c r="V27" s="1"/>
  <c r="V30" s="1"/>
  <c r="V31" s="1"/>
  <c r="D23" i="2"/>
  <c r="W30"/>
  <c r="W26"/>
  <c r="W36" s="1"/>
  <c r="R45" s="1"/>
  <c r="Y33"/>
  <c r="Y37" s="1"/>
  <c r="T46" s="1"/>
  <c r="D28"/>
  <c r="E22" i="17" s="1"/>
  <c r="G63" i="4"/>
  <c r="V26" i="2"/>
  <c r="X29"/>
  <c r="V32"/>
  <c r="X30"/>
  <c r="V27"/>
  <c r="V37" s="1"/>
  <c r="Q46" s="1"/>
  <c r="G65" i="4"/>
  <c r="G70" s="1"/>
  <c r="G74" s="1"/>
  <c r="X32" i="2"/>
  <c r="W33"/>
  <c r="U24" i="6"/>
  <c r="U27" s="1"/>
  <c r="U30" s="1"/>
  <c r="U31" s="1"/>
  <c r="C39" i="9"/>
  <c r="B51" i="1"/>
  <c r="J7" i="4" l="1"/>
  <c r="J9"/>
  <c r="AC13"/>
  <c r="AC15" s="1"/>
  <c r="AC17" s="1"/>
  <c r="K20" i="17"/>
  <c r="AB13" i="4"/>
  <c r="AB15" s="1"/>
  <c r="AB17" s="1"/>
  <c r="H20" i="17"/>
  <c r="AA13" i="4"/>
  <c r="AA15" s="1"/>
  <c r="AA17" s="1"/>
  <c r="E20" i="17"/>
  <c r="D7" i="4"/>
  <c r="C17" i="17"/>
  <c r="C19" s="1"/>
  <c r="G7" i="4"/>
  <c r="F17" i="17"/>
  <c r="F19" s="1"/>
  <c r="G9" i="4"/>
  <c r="D18" i="17"/>
  <c r="D19" s="1"/>
  <c r="D9" i="4"/>
  <c r="G18" i="17"/>
  <c r="G19" s="1"/>
  <c r="Z13" i="4"/>
  <c r="Z15" s="1"/>
  <c r="Z17" s="1"/>
  <c r="B20" i="17"/>
  <c r="N91" i="7"/>
  <c r="Y34" i="4"/>
  <c r="Z34"/>
  <c r="D16"/>
  <c r="AT11" s="1"/>
  <c r="X37" i="2"/>
  <c r="S46" s="1"/>
  <c r="G16" i="4"/>
  <c r="AU11" s="1"/>
  <c r="AT26"/>
  <c r="AT24"/>
  <c r="AU27"/>
  <c r="AD3" i="7"/>
  <c r="N15" i="1"/>
  <c r="N13" i="13" s="1"/>
  <c r="C19" i="4"/>
  <c r="F26"/>
  <c r="G68"/>
  <c r="G72" s="1"/>
  <c r="F14"/>
  <c r="L14"/>
  <c r="M68"/>
  <c r="M72" s="1"/>
  <c r="AT10"/>
  <c r="AT8"/>
  <c r="AU9"/>
  <c r="AT27"/>
  <c r="AU26"/>
  <c r="AT25"/>
  <c r="W37" i="2"/>
  <c r="R46" s="1"/>
  <c r="M16" i="4"/>
  <c r="J16"/>
  <c r="M9"/>
  <c r="M7"/>
  <c r="D68"/>
  <c r="D72" s="1"/>
  <c r="AT9"/>
  <c r="AU10"/>
  <c r="AT7"/>
  <c r="S14" i="1"/>
  <c r="AF2" i="7"/>
  <c r="R49" i="2"/>
  <c r="R50" s="1"/>
  <c r="G37"/>
  <c r="F18" i="4"/>
  <c r="X42" i="2"/>
  <c r="AF41"/>
  <c r="AH2" i="7"/>
  <c r="D42" i="2"/>
  <c r="T49"/>
  <c r="T50" s="1"/>
  <c r="I18" i="4"/>
  <c r="D14" i="1"/>
  <c r="Z42" i="2"/>
  <c r="AD42"/>
  <c r="D15" i="1"/>
  <c r="D13" i="13" s="1"/>
  <c r="I19" i="4"/>
  <c r="AH3" i="7"/>
  <c r="J68" i="4"/>
  <c r="J72" s="1"/>
  <c r="V36" i="2"/>
  <c r="F19" i="4"/>
  <c r="AF3" i="7"/>
  <c r="S15" i="1"/>
  <c r="S13" i="13" s="1"/>
  <c r="I14" i="1"/>
  <c r="AJ2" i="7"/>
  <c r="L18" i="4"/>
  <c r="E30" i="2"/>
  <c r="V49"/>
  <c r="V50" s="1"/>
  <c r="AD41"/>
  <c r="Z41"/>
  <c r="P49"/>
  <c r="P50" s="1"/>
  <c r="N14" i="1"/>
  <c r="N12" i="13" s="1"/>
  <c r="C18" i="4"/>
  <c r="B35" i="2"/>
  <c r="AD2" i="7"/>
  <c r="AF42" i="2"/>
  <c r="X41"/>
  <c r="C40" i="9"/>
  <c r="B52" i="1"/>
  <c r="AJ3" i="7"/>
  <c r="L19" i="4"/>
  <c r="I15" i="1"/>
  <c r="I13" i="13" s="1"/>
  <c r="X36" i="2"/>
  <c r="S45" s="1"/>
  <c r="F41" i="4" l="1"/>
  <c r="E14" i="17"/>
  <c r="E29" s="1"/>
  <c r="L41" i="4"/>
  <c r="K14" i="17"/>
  <c r="K29" s="1"/>
  <c r="Y35" i="4"/>
  <c r="Z35"/>
  <c r="AT6"/>
  <c r="AT4"/>
  <c r="AT5"/>
  <c r="Q41" i="2"/>
  <c r="AV10" i="4"/>
  <c r="S41" i="2"/>
  <c r="Q42"/>
  <c r="S42"/>
  <c r="AU8" i="4"/>
  <c r="AV9"/>
  <c r="AD5" i="7"/>
  <c r="L9" s="1"/>
  <c r="AJ5"/>
  <c r="P4" s="1"/>
  <c r="AU7" i="4"/>
  <c r="D16" i="1"/>
  <c r="D14" i="13" s="1"/>
  <c r="D12"/>
  <c r="S16" i="1"/>
  <c r="S14" i="13" s="1"/>
  <c r="S12"/>
  <c r="I16" i="1"/>
  <c r="I14" i="13" s="1"/>
  <c r="I12"/>
  <c r="AF5" i="7"/>
  <c r="R13" s="1"/>
  <c r="C33" i="4"/>
  <c r="I33"/>
  <c r="B53" i="1"/>
  <c r="C41" i="9"/>
  <c r="M26" i="4"/>
  <c r="M27" s="1"/>
  <c r="L27"/>
  <c r="L33"/>
  <c r="AV27"/>
  <c r="AU28"/>
  <c r="AU24"/>
  <c r="S25" i="1"/>
  <c r="S18" i="13" s="1"/>
  <c r="F104" i="4"/>
  <c r="F72"/>
  <c r="AH5" i="7"/>
  <c r="N17" s="1"/>
  <c r="Q45" i="2"/>
  <c r="U41"/>
  <c r="U45"/>
  <c r="I25" i="1"/>
  <c r="I18" i="13" s="1"/>
  <c r="L104" i="4"/>
  <c r="L72"/>
  <c r="AT23"/>
  <c r="AV26"/>
  <c r="AT22"/>
  <c r="AT28"/>
  <c r="AU25"/>
  <c r="AT21"/>
  <c r="G26"/>
  <c r="G27" s="1"/>
  <c r="F27"/>
  <c r="F33"/>
  <c r="N16" i="1"/>
  <c r="N14" i="13" s="1"/>
  <c r="Y36" i="4" l="1"/>
  <c r="Z36"/>
  <c r="S71"/>
  <c r="S35"/>
  <c r="I83" i="7"/>
  <c r="U35" i="4"/>
  <c r="K83" i="7"/>
  <c r="U71" i="4"/>
  <c r="I3"/>
  <c r="H15" i="17" s="1"/>
  <c r="W35" i="4"/>
  <c r="M83" i="7"/>
  <c r="W71" i="4"/>
  <c r="Q71"/>
  <c r="Q35"/>
  <c r="G83" i="7"/>
  <c r="C3" i="4"/>
  <c r="B15" i="17" s="1"/>
  <c r="L35" i="2"/>
  <c r="K35"/>
  <c r="N36"/>
  <c r="M36"/>
  <c r="K37"/>
  <c r="L37"/>
  <c r="L36"/>
  <c r="K36"/>
  <c r="M37"/>
  <c r="M35"/>
  <c r="N37"/>
  <c r="B54" i="1"/>
  <c r="C42" i="9"/>
  <c r="I91" i="7" l="1"/>
  <c r="I92" s="1"/>
  <c r="R28" i="4"/>
  <c r="C88" s="1"/>
  <c r="C48" i="2"/>
  <c r="K40"/>
  <c r="T53"/>
  <c r="T56" s="1"/>
  <c r="N42" s="1"/>
  <c r="K4" i="9" s="1"/>
  <c r="F50" i="2"/>
  <c r="U30" i="4"/>
  <c r="R52" i="2"/>
  <c r="R55" s="1"/>
  <c r="L41" s="1"/>
  <c r="E4" i="9" s="1"/>
  <c r="D49" i="2"/>
  <c r="S29" i="4"/>
  <c r="F49" i="2"/>
  <c r="T52"/>
  <c r="T55" s="1"/>
  <c r="N41" s="1"/>
  <c r="G4" i="9" s="1"/>
  <c r="U29" i="4"/>
  <c r="G91" i="7"/>
  <c r="G92" s="1"/>
  <c r="H92"/>
  <c r="L92"/>
  <c r="N92"/>
  <c r="J92"/>
  <c r="M91"/>
  <c r="M92" s="1"/>
  <c r="K91"/>
  <c r="K92" s="1"/>
  <c r="R53" i="2"/>
  <c r="R56" s="1"/>
  <c r="L42" s="1"/>
  <c r="I4" i="9" s="1"/>
  <c r="D50" i="2"/>
  <c r="S30" i="4"/>
  <c r="O3"/>
  <c r="F106"/>
  <c r="C5"/>
  <c r="B17" i="17" s="1"/>
  <c r="B19" s="1"/>
  <c r="C108" i="4"/>
  <c r="C13"/>
  <c r="C14" s="1"/>
  <c r="D66"/>
  <c r="Z16"/>
  <c r="Z18" s="1"/>
  <c r="AA16"/>
  <c r="AA18" s="1"/>
  <c r="E48" i="2"/>
  <c r="T28" i="4"/>
  <c r="F88" s="1"/>
  <c r="M40" i="2"/>
  <c r="I108" i="4"/>
  <c r="L106"/>
  <c r="I5"/>
  <c r="H17" i="17" s="1"/>
  <c r="H19" s="1"/>
  <c r="I13" i="4"/>
  <c r="I14" s="1"/>
  <c r="J66"/>
  <c r="AB16"/>
  <c r="AB18" s="1"/>
  <c r="AC16"/>
  <c r="AC18" s="1"/>
  <c r="R29"/>
  <c r="Q52" i="2"/>
  <c r="Q55" s="1"/>
  <c r="K41" s="1"/>
  <c r="D4" i="9" s="1"/>
  <c r="C49" i="2"/>
  <c r="T29" i="4"/>
  <c r="S52" i="2"/>
  <c r="S55" s="1"/>
  <c r="M41" s="1"/>
  <c r="F4" i="9" s="1"/>
  <c r="E49" i="2"/>
  <c r="C43" i="9"/>
  <c r="B55" i="1"/>
  <c r="E50" i="2"/>
  <c r="S53"/>
  <c r="S56" s="1"/>
  <c r="M42" s="1"/>
  <c r="J4" i="9" s="1"/>
  <c r="T30" i="4"/>
  <c r="Q53" i="2"/>
  <c r="Q56" s="1"/>
  <c r="K42" s="1"/>
  <c r="H4" i="9" s="1"/>
  <c r="R30" i="4"/>
  <c r="C50" i="2"/>
  <c r="S28" i="4"/>
  <c r="D88" s="1"/>
  <c r="L40" i="2"/>
  <c r="D48"/>
  <c r="I41" i="4" l="1"/>
  <c r="H14" i="17"/>
  <c r="H29" s="1"/>
  <c r="C41" i="4"/>
  <c r="B14" i="17"/>
  <c r="B29" s="1"/>
  <c r="I93" i="7"/>
  <c r="I94"/>
  <c r="AB19" i="4"/>
  <c r="AB20" s="1"/>
  <c r="AB21" s="1"/>
  <c r="AI30" s="1"/>
  <c r="AK31" s="1"/>
  <c r="D11" i="9"/>
  <c r="D31" s="1"/>
  <c r="C44" i="1" s="1"/>
  <c r="C4" i="15" s="1"/>
  <c r="D46" i="9"/>
  <c r="C59" i="1" s="1"/>
  <c r="C19" i="15" s="1"/>
  <c r="D50" i="9"/>
  <c r="C63" i="1" s="1"/>
  <c r="C23" i="15" s="1"/>
  <c r="D6" i="9"/>
  <c r="D16" s="1"/>
  <c r="D36" s="1"/>
  <c r="C49" i="1" s="1"/>
  <c r="C9" i="15" s="1"/>
  <c r="D18" i="9"/>
  <c r="D43" s="1"/>
  <c r="H50"/>
  <c r="G63" i="1" s="1"/>
  <c r="G23" i="15" s="1"/>
  <c r="H46" i="9"/>
  <c r="G59" i="1" s="1"/>
  <c r="G19" i="15" s="1"/>
  <c r="H11" i="9"/>
  <c r="H31" s="1"/>
  <c r="G44" i="1" s="1"/>
  <c r="G4" i="15" s="1"/>
  <c r="H18" i="9"/>
  <c r="H43" s="1"/>
  <c r="H6"/>
  <c r="R18"/>
  <c r="G6"/>
  <c r="G5" s="1"/>
  <c r="G11" s="1"/>
  <c r="G31" s="1"/>
  <c r="F44" i="1" s="1"/>
  <c r="F4" i="15" s="1"/>
  <c r="E6" i="9"/>
  <c r="E16" s="1"/>
  <c r="E36" s="1"/>
  <c r="D49" i="1" s="1"/>
  <c r="D9" i="15" s="1"/>
  <c r="P18" i="9"/>
  <c r="V18"/>
  <c r="K6"/>
  <c r="K17" s="1"/>
  <c r="K33" s="1"/>
  <c r="J46" i="1" s="1"/>
  <c r="J6" i="15" s="1"/>
  <c r="M94" i="7"/>
  <c r="M93"/>
  <c r="H94"/>
  <c r="H93"/>
  <c r="Z19" i="4"/>
  <c r="Z20" s="1"/>
  <c r="Z21" s="1"/>
  <c r="AI14" s="1"/>
  <c r="J18" i="9"/>
  <c r="J43" s="1"/>
  <c r="J6"/>
  <c r="J17" s="1"/>
  <c r="J33" s="1"/>
  <c r="I46" i="1" s="1"/>
  <c r="I6" i="15" s="1"/>
  <c r="J11" i="9"/>
  <c r="J31" s="1"/>
  <c r="I44" i="1" s="1"/>
  <c r="I4" i="15" s="1"/>
  <c r="C9" i="4"/>
  <c r="C7"/>
  <c r="K93" i="7"/>
  <c r="K94"/>
  <c r="L94"/>
  <c r="L93"/>
  <c r="U32" i="4"/>
  <c r="U45"/>
  <c r="X69"/>
  <c r="F6" i="9"/>
  <c r="F16" s="1"/>
  <c r="F36" s="1"/>
  <c r="E49" i="1" s="1"/>
  <c r="E9" i="15" s="1"/>
  <c r="F11" i="9"/>
  <c r="F31" s="1"/>
  <c r="E44" i="1" s="1"/>
  <c r="E4" i="15" s="1"/>
  <c r="F18" i="9"/>
  <c r="F43" s="1"/>
  <c r="B56" i="1"/>
  <c r="C44" i="9"/>
  <c r="S69" i="4"/>
  <c r="T44"/>
  <c r="T31"/>
  <c r="D25" i="1"/>
  <c r="D18" i="13" s="1"/>
  <c r="I104" i="4"/>
  <c r="I72"/>
  <c r="I9"/>
  <c r="I7"/>
  <c r="N25" i="1"/>
  <c r="N18" i="13" s="1"/>
  <c r="C104" i="4"/>
  <c r="C72"/>
  <c r="V69"/>
  <c r="S45"/>
  <c r="S32"/>
  <c r="N94" i="7"/>
  <c r="N93"/>
  <c r="T69" i="4"/>
  <c r="U31"/>
  <c r="U44"/>
  <c r="R69"/>
  <c r="S31"/>
  <c r="S44"/>
  <c r="R45"/>
  <c r="R32"/>
  <c r="U69"/>
  <c r="T32"/>
  <c r="T45"/>
  <c r="W69"/>
  <c r="R31"/>
  <c r="Q69"/>
  <c r="R44"/>
  <c r="I6" i="9"/>
  <c r="I16" s="1"/>
  <c r="I36" s="1"/>
  <c r="H49" i="1" s="1"/>
  <c r="H9" i="15" s="1"/>
  <c r="T18" i="9"/>
  <c r="J94" i="7"/>
  <c r="J93"/>
  <c r="G93"/>
  <c r="G94"/>
  <c r="J16" i="9" l="1"/>
  <c r="J36" s="1"/>
  <c r="I49" i="1" s="1"/>
  <c r="I9" i="15" s="1"/>
  <c r="Q75" i="4"/>
  <c r="AK32"/>
  <c r="AR35" s="1"/>
  <c r="AK33"/>
  <c r="AJ31"/>
  <c r="E17" i="9"/>
  <c r="E33" s="1"/>
  <c r="D46" i="1" s="1"/>
  <c r="D6" i="15" s="1"/>
  <c r="AJ32" i="4"/>
  <c r="AQ35" s="1"/>
  <c r="D17" i="9"/>
  <c r="D33" s="1"/>
  <c r="C46" i="1" s="1"/>
  <c r="C6" i="15" s="1"/>
  <c r="I17" i="9"/>
  <c r="I33" s="1"/>
  <c r="H46" i="1" s="1"/>
  <c r="H6" i="15" s="1"/>
  <c r="AL33" i="4"/>
  <c r="AL31"/>
  <c r="K5" i="9"/>
  <c r="K11" s="1"/>
  <c r="K31" s="1"/>
  <c r="J44" i="1" s="1"/>
  <c r="J4" i="15" s="1"/>
  <c r="AL32" i="4"/>
  <c r="AS35" s="1"/>
  <c r="AJ33"/>
  <c r="G56" i="1"/>
  <c r="G16" i="15" s="1"/>
  <c r="Y48" i="4"/>
  <c r="AA48"/>
  <c r="I56" i="1"/>
  <c r="I16" i="15" s="1"/>
  <c r="J7" i="9"/>
  <c r="J37" s="1"/>
  <c r="I50" i="1" s="1"/>
  <c r="I10" i="15" s="1"/>
  <c r="J8" i="9"/>
  <c r="J38" s="1"/>
  <c r="I51" i="1" s="1"/>
  <c r="I11" i="15" s="1"/>
  <c r="H7" i="9"/>
  <c r="H37" s="1"/>
  <c r="G50" i="1" s="1"/>
  <c r="G10" i="15" s="1"/>
  <c r="H8" i="9"/>
  <c r="H38" s="1"/>
  <c r="G51" i="1" s="1"/>
  <c r="G11" i="15" s="1"/>
  <c r="I5" i="9"/>
  <c r="I11" s="1"/>
  <c r="I31" s="1"/>
  <c r="H44" i="1" s="1"/>
  <c r="H4" i="15" s="1"/>
  <c r="K16" i="9"/>
  <c r="K36" s="1"/>
  <c r="J49" i="1" s="1"/>
  <c r="J9" i="15" s="1"/>
  <c r="G17" i="9"/>
  <c r="G33" s="1"/>
  <c r="F46" i="1" s="1"/>
  <c r="F6" i="15" s="1"/>
  <c r="X75" i="4"/>
  <c r="R75"/>
  <c r="V75"/>
  <c r="T75"/>
  <c r="S75"/>
  <c r="U75"/>
  <c r="W75"/>
  <c r="E56" i="1"/>
  <c r="E16" i="15" s="1"/>
  <c r="AA47" i="4"/>
  <c r="F7" i="9"/>
  <c r="F37" s="1"/>
  <c r="E50" i="1" s="1"/>
  <c r="E10" i="15" s="1"/>
  <c r="F8" i="9"/>
  <c r="F38" s="1"/>
  <c r="E51" i="1" s="1"/>
  <c r="E11" i="15" s="1"/>
  <c r="Y47" i="4"/>
  <c r="C56" i="1"/>
  <c r="C16" i="15" s="1"/>
  <c r="O9" i="4"/>
  <c r="E5" i="9"/>
  <c r="E11" s="1"/>
  <c r="E31" s="1"/>
  <c r="D44" i="1" s="1"/>
  <c r="D4" i="15" s="1"/>
  <c r="H16" i="9"/>
  <c r="H36" s="1"/>
  <c r="G49" i="1" s="1"/>
  <c r="G9" i="15" s="1"/>
  <c r="C15" i="4"/>
  <c r="C42" s="1"/>
  <c r="C26"/>
  <c r="G15"/>
  <c r="G42" s="1"/>
  <c r="F15"/>
  <c r="F42" s="1"/>
  <c r="D15"/>
  <c r="D42" s="1"/>
  <c r="AK17"/>
  <c r="AJ17"/>
  <c r="AK16"/>
  <c r="AR33" s="1"/>
  <c r="AK15"/>
  <c r="AJ16"/>
  <c r="AQ33" s="1"/>
  <c r="AL16"/>
  <c r="AS33" s="1"/>
  <c r="AL15"/>
  <c r="AJ15"/>
  <c r="AL17"/>
  <c r="K9" i="9"/>
  <c r="K8"/>
  <c r="K38" s="1"/>
  <c r="J51" i="1" s="1"/>
  <c r="J11" i="15" s="1"/>
  <c r="K7" i="9"/>
  <c r="K37" s="1"/>
  <c r="J50" i="1" s="1"/>
  <c r="J10" i="15" s="1"/>
  <c r="G16" i="9"/>
  <c r="G36" s="1"/>
  <c r="F49" i="1" s="1"/>
  <c r="F9" i="15" s="1"/>
  <c r="H17" i="9"/>
  <c r="H33" s="1"/>
  <c r="G46" i="1" s="1"/>
  <c r="G6" i="15" s="1"/>
  <c r="I8" i="9"/>
  <c r="I38" s="1"/>
  <c r="H51" i="1" s="1"/>
  <c r="H11" i="15" s="1"/>
  <c r="I7" i="9"/>
  <c r="I37" s="1"/>
  <c r="H50" i="1" s="1"/>
  <c r="H10" i="15" s="1"/>
  <c r="I9" i="9"/>
  <c r="I15" i="4"/>
  <c r="I42" s="1"/>
  <c r="I26"/>
  <c r="J15"/>
  <c r="J42" s="1"/>
  <c r="L15"/>
  <c r="L42" s="1"/>
  <c r="M15"/>
  <c r="M42" s="1"/>
  <c r="B57" i="1"/>
  <c r="C45" i="9"/>
  <c r="E8"/>
  <c r="E38" s="1"/>
  <c r="D51" i="1" s="1"/>
  <c r="D11" i="15" s="1"/>
  <c r="E9" i="9"/>
  <c r="E7"/>
  <c r="E37" s="1"/>
  <c r="D50" i="1" s="1"/>
  <c r="D10" i="15" s="1"/>
  <c r="G8" i="9"/>
  <c r="G38" s="1"/>
  <c r="F51" i="1" s="1"/>
  <c r="F11" i="15" s="1"/>
  <c r="G9" i="9"/>
  <c r="G7"/>
  <c r="G37" s="1"/>
  <c r="F50" i="1" s="1"/>
  <c r="F10" i="15" s="1"/>
  <c r="D7" i="9"/>
  <c r="D37" s="1"/>
  <c r="C50" i="1" s="1"/>
  <c r="C10" i="15" s="1"/>
  <c r="D8" i="9"/>
  <c r="D38" s="1"/>
  <c r="C51" i="1" s="1"/>
  <c r="C11" i="15" s="1"/>
  <c r="F17" i="9"/>
  <c r="F33" s="1"/>
  <c r="E46" i="1" s="1"/>
  <c r="E6" i="15" s="1"/>
  <c r="D26" i="4" l="1"/>
  <c r="D27" s="1"/>
  <c r="C27"/>
  <c r="C23"/>
  <c r="G42" i="17" s="1"/>
  <c r="E39" i="9"/>
  <c r="D52" i="1" s="1"/>
  <c r="D12" i="15" s="1"/>
  <c r="E10" i="9"/>
  <c r="E41" s="1"/>
  <c r="D54" i="1" s="1"/>
  <c r="D14" i="15" s="1"/>
  <c r="E40" i="9"/>
  <c r="J26" i="4"/>
  <c r="J27" s="1"/>
  <c r="I27"/>
  <c r="O15"/>
  <c r="C46" i="9"/>
  <c r="B58" i="1"/>
  <c r="G40" i="9"/>
  <c r="G10"/>
  <c r="G41" s="1"/>
  <c r="F54" i="1" s="1"/>
  <c r="F14" i="15" s="1"/>
  <c r="G39" i="9"/>
  <c r="F52" i="1" s="1"/>
  <c r="F12" i="15" s="1"/>
  <c r="I39" i="9"/>
  <c r="H52" i="1" s="1"/>
  <c r="H12" i="15" s="1"/>
  <c r="I10" i="9"/>
  <c r="I41" s="1"/>
  <c r="H54" i="1" s="1"/>
  <c r="H14" i="15" s="1"/>
  <c r="I40" i="9"/>
  <c r="K39"/>
  <c r="J52" i="1" s="1"/>
  <c r="J12" i="15" s="1"/>
  <c r="K10" i="9"/>
  <c r="K41" s="1"/>
  <c r="J54" i="1" s="1"/>
  <c r="J14" i="15" s="1"/>
  <c r="K40" i="9"/>
  <c r="O17" i="4"/>
  <c r="V23" l="1"/>
  <c r="AB24" s="1"/>
  <c r="AC24" s="1"/>
  <c r="I18" i="9"/>
  <c r="I43" s="1"/>
  <c r="Z48" i="4" s="1"/>
  <c r="G18" i="9"/>
  <c r="G43" s="1"/>
  <c r="AB47" i="4" s="1"/>
  <c r="E18" i="9"/>
  <c r="E43" s="1"/>
  <c r="K42"/>
  <c r="J55" i="1" s="1"/>
  <c r="J15" i="15" s="1"/>
  <c r="J53" i="1"/>
  <c r="J13" i="15" s="1"/>
  <c r="B59" i="1"/>
  <c r="C47" i="9"/>
  <c r="C24" i="4"/>
  <c r="I42" i="9"/>
  <c r="H55" i="1" s="1"/>
  <c r="H15" i="15" s="1"/>
  <c r="H53" i="1"/>
  <c r="H13" i="15" s="1"/>
  <c r="G42" i="9"/>
  <c r="F55" i="1" s="1"/>
  <c r="F15" i="15" s="1"/>
  <c r="F53" i="1"/>
  <c r="F13" i="15" s="1"/>
  <c r="D53" i="1"/>
  <c r="D13" i="15" s="1"/>
  <c r="E42" i="9"/>
  <c r="D55" i="1" s="1"/>
  <c r="D15" i="15" s="1"/>
  <c r="K18" i="9"/>
  <c r="K43" s="1"/>
  <c r="H56" i="1" l="1"/>
  <c r="H16" i="15" s="1"/>
  <c r="F56" i="1"/>
  <c r="F16" i="15" s="1"/>
  <c r="AF48" i="4"/>
  <c r="B60" i="1"/>
  <c r="C48" i="9"/>
  <c r="AG47" i="4"/>
  <c r="J56" i="1"/>
  <c r="J16" i="15" s="1"/>
  <c r="AB48" i="4"/>
  <c r="K27" i="9"/>
  <c r="D56" i="1"/>
  <c r="D16" i="15" s="1"/>
  <c r="Z47" i="4"/>
  <c r="G27" i="9"/>
  <c r="L27" l="1"/>
  <c r="U25" i="4" s="1"/>
  <c r="V25" s="1"/>
  <c r="F24" s="1"/>
  <c r="AG48"/>
  <c r="AD48"/>
  <c r="AC48"/>
  <c r="AF47"/>
  <c r="C49" i="9"/>
  <c r="B61" i="1"/>
  <c r="AE48" i="4" l="1"/>
  <c r="V27"/>
  <c r="C25" s="1"/>
  <c r="C50" i="9"/>
  <c r="B62" i="1"/>
  <c r="C42" i="17" l="1"/>
  <c r="K51" i="4"/>
  <c r="N51"/>
  <c r="E51"/>
  <c r="H51"/>
  <c r="AL18"/>
  <c r="AS34" s="1"/>
  <c r="AJ48"/>
  <c r="AJ34"/>
  <c r="AQ36" s="1"/>
  <c r="AZ50" s="1"/>
  <c r="I97"/>
  <c r="AJ47"/>
  <c r="M28"/>
  <c r="C28"/>
  <c r="AK48"/>
  <c r="AI48"/>
  <c r="AJ18"/>
  <c r="AQ34" s="1"/>
  <c r="L97"/>
  <c r="G28"/>
  <c r="I28"/>
  <c r="T88"/>
  <c r="D48" i="7" s="1"/>
  <c r="AK18" i="4"/>
  <c r="AR34" s="1"/>
  <c r="AL34"/>
  <c r="AS36" s="1"/>
  <c r="F97"/>
  <c r="L28"/>
  <c r="F28"/>
  <c r="C57"/>
  <c r="AK47"/>
  <c r="AI47"/>
  <c r="AK34"/>
  <c r="AR36" s="1"/>
  <c r="C97"/>
  <c r="J28"/>
  <c r="D28"/>
  <c r="C51" i="9"/>
  <c r="B63" i="1"/>
  <c r="AY49" i="4" l="1"/>
  <c r="AX49"/>
  <c r="AW49"/>
  <c r="BA48"/>
  <c r="AX47"/>
  <c r="C58"/>
  <c r="D49" i="7" s="1"/>
  <c r="C41" i="17"/>
  <c r="AW50" i="4"/>
  <c r="AT44"/>
  <c r="AY47"/>
  <c r="AR43"/>
  <c r="AV43"/>
  <c r="AR45"/>
  <c r="AS45"/>
  <c r="AQ45"/>
  <c r="BB47"/>
  <c r="AV44"/>
  <c r="AQ46"/>
  <c r="AT46"/>
  <c r="BA47"/>
  <c r="BA54" s="1"/>
  <c r="M30" s="1"/>
  <c r="X43" s="1"/>
  <c r="X36" s="1"/>
  <c r="AU44"/>
  <c r="AU43"/>
  <c r="AZ48"/>
  <c r="AZ54" s="1"/>
  <c r="L30" s="1"/>
  <c r="W43" s="1"/>
  <c r="W36" s="1"/>
  <c r="BB48"/>
  <c r="AS43"/>
  <c r="AL48"/>
  <c r="AL47"/>
  <c r="B64" i="1"/>
  <c r="C52" i="9"/>
  <c r="B65" i="1" s="1"/>
  <c r="AY54" i="4" l="1"/>
  <c r="K30" s="1"/>
  <c r="AX54"/>
  <c r="J30" s="1"/>
  <c r="V43" s="1"/>
  <c r="V36" s="1"/>
  <c r="AW54"/>
  <c r="I30" s="1"/>
  <c r="U43" s="1"/>
  <c r="U36" s="1"/>
  <c r="AS54"/>
  <c r="E30" s="1"/>
  <c r="AV54"/>
  <c r="H30" s="1"/>
  <c r="AR54"/>
  <c r="D30" s="1"/>
  <c r="R43" s="1"/>
  <c r="R36" s="1"/>
  <c r="U47" s="1"/>
  <c r="AT54"/>
  <c r="F30" s="1"/>
  <c r="S43" s="1"/>
  <c r="S36" s="1"/>
  <c r="T47" s="1"/>
  <c r="BB54"/>
  <c r="N30" s="1"/>
  <c r="AQ54"/>
  <c r="C30" s="1"/>
  <c r="Q43" s="1"/>
  <c r="Q36" s="1"/>
  <c r="R47" s="1"/>
  <c r="AU54"/>
  <c r="G30" s="1"/>
  <c r="T43" s="1"/>
  <c r="T36" s="1"/>
  <c r="U48" s="1"/>
  <c r="S48" l="1"/>
  <c r="S47"/>
  <c r="V47" s="1"/>
  <c r="S61" s="1"/>
  <c r="T48"/>
  <c r="R48"/>
  <c r="T61" l="1"/>
  <c r="R61"/>
  <c r="W61" s="1"/>
  <c r="U61"/>
  <c r="V48"/>
  <c r="R62" s="1"/>
  <c r="X61" l="1"/>
  <c r="S62"/>
  <c r="W62" s="1"/>
  <c r="W63" s="1"/>
  <c r="U62"/>
  <c r="T62"/>
  <c r="X62" l="1"/>
  <c r="X63" s="1"/>
  <c r="W64" s="1"/>
  <c r="AB62" s="1"/>
  <c r="AA61" l="1"/>
  <c r="AA63" s="1"/>
  <c r="AB61"/>
  <c r="AB63" s="1"/>
  <c r="X64"/>
  <c r="AC61" s="1"/>
  <c r="AA62"/>
  <c r="AA64" s="1"/>
  <c r="AG62" s="1"/>
  <c r="R67" s="1"/>
  <c r="AB64"/>
  <c r="AD62" l="1"/>
  <c r="AD64" s="1"/>
  <c r="AD61"/>
  <c r="AD63" s="1"/>
  <c r="AC62"/>
  <c r="AC64" s="1"/>
  <c r="AG61"/>
  <c r="R66" s="1"/>
  <c r="AA66" s="1"/>
  <c r="AH61"/>
  <c r="S66" s="1"/>
  <c r="AB66" s="1"/>
  <c r="AA67"/>
  <c r="AH62"/>
  <c r="S67" s="1"/>
  <c r="AB67" s="1"/>
  <c r="AC63"/>
  <c r="AJ62" l="1"/>
  <c r="U67" s="1"/>
  <c r="AD67" s="1"/>
  <c r="AI62"/>
  <c r="T67" s="1"/>
  <c r="AJ61"/>
  <c r="U66" s="1"/>
  <c r="AD66" s="1"/>
  <c r="W66"/>
  <c r="AI61"/>
  <c r="T66" s="1"/>
  <c r="W67"/>
  <c r="V67" l="1"/>
  <c r="AC67"/>
  <c r="X67"/>
  <c r="X66"/>
  <c r="AC66"/>
  <c r="V66"/>
  <c r="AE67" l="1"/>
  <c r="C89" s="1"/>
  <c r="C92" s="1"/>
  <c r="F89" l="1"/>
  <c r="E41" i="1" s="1"/>
  <c r="F3" i="16" s="1"/>
  <c r="B41" i="1"/>
  <c r="C3" i="16" s="1"/>
  <c r="C90" i="4"/>
  <c r="U70" s="1"/>
  <c r="D3" i="9"/>
  <c r="D30" s="1"/>
  <c r="C43" i="1" s="1"/>
  <c r="C3" i="15" s="1"/>
  <c r="E90" i="4"/>
  <c r="J3" i="9" s="1"/>
  <c r="J45" s="1"/>
  <c r="I58" i="1" s="1"/>
  <c r="I18" i="15" s="1"/>
  <c r="D90" i="4"/>
  <c r="D93" s="1"/>
  <c r="Q70"/>
  <c r="F90"/>
  <c r="D89"/>
  <c r="E3" i="9" s="1"/>
  <c r="E44" s="1"/>
  <c r="D57" i="1" s="1"/>
  <c r="D17" i="15" s="1"/>
  <c r="E89" i="4"/>
  <c r="F92" s="1"/>
  <c r="D45" i="9" l="1"/>
  <c r="C58" i="1" s="1"/>
  <c r="C18" i="15" s="1"/>
  <c r="F41" i="1"/>
  <c r="G3" i="16" s="1"/>
  <c r="D20" i="9"/>
  <c r="D47" s="1"/>
  <c r="C60" i="1" s="1"/>
  <c r="C20" i="15" s="1"/>
  <c r="C41" i="1"/>
  <c r="D3" i="16" s="1"/>
  <c r="J14" i="9"/>
  <c r="J34" s="1"/>
  <c r="I47" i="1" s="1"/>
  <c r="I7" i="15" s="1"/>
  <c r="E30" i="9"/>
  <c r="D43" i="1" s="1"/>
  <c r="D3" i="15" s="1"/>
  <c r="J30" i="9"/>
  <c r="I43" i="1" s="1"/>
  <c r="I3" i="15" s="1"/>
  <c r="E45" i="9"/>
  <c r="D58" i="1" s="1"/>
  <c r="D18" i="15" s="1"/>
  <c r="W70" i="4"/>
  <c r="C34" s="1"/>
  <c r="B27" i="7" s="1"/>
  <c r="I89" i="4"/>
  <c r="F93"/>
  <c r="P21" i="9"/>
  <c r="E14"/>
  <c r="E34" s="1"/>
  <c r="D47" i="1" s="1"/>
  <c r="D7" i="15" s="1"/>
  <c r="D41" i="1"/>
  <c r="E3" i="16" s="1"/>
  <c r="S70" i="4"/>
  <c r="F34" s="1"/>
  <c r="H31" i="7" s="1"/>
  <c r="I3" i="9"/>
  <c r="I44" s="1"/>
  <c r="H57" i="1" s="1"/>
  <c r="H17" i="15" s="1"/>
  <c r="H41" i="1"/>
  <c r="I3" i="16" s="1"/>
  <c r="D92" i="4"/>
  <c r="H89"/>
  <c r="G92"/>
  <c r="D14" i="9"/>
  <c r="D34" s="1"/>
  <c r="C47" i="1" s="1"/>
  <c r="C7" i="15" s="1"/>
  <c r="V70" i="4"/>
  <c r="G41" i="1"/>
  <c r="H3" i="16" s="1"/>
  <c r="T70" i="4"/>
  <c r="F3" i="9"/>
  <c r="G89" i="4"/>
  <c r="G3" i="9"/>
  <c r="K3"/>
  <c r="G93" i="4"/>
  <c r="H3" i="9"/>
  <c r="H90" i="4"/>
  <c r="C93"/>
  <c r="I90"/>
  <c r="I41" i="1"/>
  <c r="J3" i="16" s="1"/>
  <c r="G90" i="4"/>
  <c r="X70"/>
  <c r="R70"/>
  <c r="J34" l="1"/>
  <c r="J29" s="1"/>
  <c r="G34"/>
  <c r="C78" s="1"/>
  <c r="I34"/>
  <c r="M34"/>
  <c r="M11" s="1"/>
  <c r="L12" i="17" s="1"/>
  <c r="L28" s="1"/>
  <c r="L34" i="4"/>
  <c r="D34"/>
  <c r="D11" s="1"/>
  <c r="C39"/>
  <c r="C29"/>
  <c r="O16" i="9" s="1"/>
  <c r="D21"/>
  <c r="D24" s="1"/>
  <c r="D25" s="1"/>
  <c r="D52" s="1"/>
  <c r="C65" i="1" s="1"/>
  <c r="C25" i="15" s="1"/>
  <c r="G84" i="7"/>
  <c r="E19" i="9"/>
  <c r="E20" s="1"/>
  <c r="F79" i="4"/>
  <c r="I84" i="7"/>
  <c r="F11" i="4"/>
  <c r="E12" i="17" s="1"/>
  <c r="E28" s="1"/>
  <c r="C79" i="4"/>
  <c r="C69"/>
  <c r="J41" i="1"/>
  <c r="K3" i="16" s="1"/>
  <c r="N34" i="4"/>
  <c r="C11"/>
  <c r="N24" i="1" s="1"/>
  <c r="N17" i="13" s="1"/>
  <c r="F39" i="4"/>
  <c r="I30" i="9"/>
  <c r="H43" i="1" s="1"/>
  <c r="H3" i="15" s="1"/>
  <c r="I14" i="9"/>
  <c r="I34" s="1"/>
  <c r="H47" i="1" s="1"/>
  <c r="H7" i="15" s="1"/>
  <c r="T21" i="9"/>
  <c r="I45"/>
  <c r="H58" i="1" s="1"/>
  <c r="H18" i="15" s="1"/>
  <c r="F29" i="4"/>
  <c r="Q16" i="9" s="1"/>
  <c r="F69" i="4"/>
  <c r="F45" i="9"/>
  <c r="E58" i="1" s="1"/>
  <c r="E18" i="15" s="1"/>
  <c r="F14" i="9"/>
  <c r="F34" s="1"/>
  <c r="E47" i="1" s="1"/>
  <c r="E7" i="15" s="1"/>
  <c r="F30" i="9"/>
  <c r="E43" i="1" s="1"/>
  <c r="E3" i="15" s="1"/>
  <c r="G44" i="9"/>
  <c r="F57" i="1" s="1"/>
  <c r="F17" i="15" s="1"/>
  <c r="G14" i="9"/>
  <c r="G34" s="1"/>
  <c r="F47" i="1" s="1"/>
  <c r="F7" i="15" s="1"/>
  <c r="G30" i="9"/>
  <c r="F43" i="1" s="1"/>
  <c r="F3" i="15" s="1"/>
  <c r="R21" i="9"/>
  <c r="G45"/>
  <c r="F58" i="1" s="1"/>
  <c r="F18" i="15" s="1"/>
  <c r="B29" i="7"/>
  <c r="D29" i="4"/>
  <c r="H84" i="7"/>
  <c r="D39" i="4"/>
  <c r="K30" i="9"/>
  <c r="J43" i="1" s="1"/>
  <c r="J3" i="15" s="1"/>
  <c r="V21" i="9"/>
  <c r="K14"/>
  <c r="K34" s="1"/>
  <c r="J47" i="1" s="1"/>
  <c r="J7" i="15" s="1"/>
  <c r="K45" i="9"/>
  <c r="J58" i="1" s="1"/>
  <c r="J18" i="15" s="1"/>
  <c r="K44" i="9"/>
  <c r="J57" i="1" s="1"/>
  <c r="J17" i="15" s="1"/>
  <c r="H45" i="9"/>
  <c r="G58" i="1" s="1"/>
  <c r="G18" i="15" s="1"/>
  <c r="H30" i="9"/>
  <c r="G43" i="1" s="1"/>
  <c r="G3" i="15" s="1"/>
  <c r="H14" i="9"/>
  <c r="H34" s="1"/>
  <c r="G47" i="1" s="1"/>
  <c r="G7" i="15" s="1"/>
  <c r="H20" i="9"/>
  <c r="D37" i="4" l="1"/>
  <c r="C23" i="17" s="1"/>
  <c r="C25" s="1"/>
  <c r="E34" i="4"/>
  <c r="E39" s="1"/>
  <c r="L84" i="7"/>
  <c r="J95" s="1"/>
  <c r="I78" i="4"/>
  <c r="E35" i="7"/>
  <c r="J84"/>
  <c r="G11" i="4"/>
  <c r="T24" i="1" s="1"/>
  <c r="T17" i="13" s="1"/>
  <c r="K34" i="4"/>
  <c r="F35" i="7" s="1"/>
  <c r="G39" i="4"/>
  <c r="J39"/>
  <c r="J37"/>
  <c r="I23" i="17" s="1"/>
  <c r="I25" s="1"/>
  <c r="G29" i="4"/>
  <c r="R16" i="9" s="1"/>
  <c r="J11" i="4"/>
  <c r="J40" s="1"/>
  <c r="J51" s="1"/>
  <c r="G37"/>
  <c r="F23" i="17" s="1"/>
  <c r="F25" s="1"/>
  <c r="H34" i="4"/>
  <c r="H39" s="1"/>
  <c r="H29" i="7"/>
  <c r="F78" i="4"/>
  <c r="F83" s="1"/>
  <c r="F109" s="1"/>
  <c r="F66" s="1"/>
  <c r="E22" i="7"/>
  <c r="J24" i="1"/>
  <c r="J17" i="13" s="1"/>
  <c r="L78" i="4"/>
  <c r="M37"/>
  <c r="L23" i="17" s="1"/>
  <c r="L25" s="1"/>
  <c r="M39" i="4"/>
  <c r="M29"/>
  <c r="V16" i="9" s="1"/>
  <c r="V17" s="1"/>
  <c r="K15" s="1"/>
  <c r="K35" s="1"/>
  <c r="J48" i="1" s="1"/>
  <c r="J8" i="15" s="1"/>
  <c r="N84" i="7"/>
  <c r="M14" i="4"/>
  <c r="L14" i="17" s="1"/>
  <c r="M40" i="4"/>
  <c r="M51" s="1"/>
  <c r="E23" i="9"/>
  <c r="E50" s="1"/>
  <c r="D63" i="1" s="1"/>
  <c r="D23" i="15" s="1"/>
  <c r="I11" i="4"/>
  <c r="I39"/>
  <c r="K84" i="7"/>
  <c r="K95" s="1"/>
  <c r="D35"/>
  <c r="I29" i="4"/>
  <c r="S16" i="9" s="1"/>
  <c r="S17" s="1"/>
  <c r="H15" s="1"/>
  <c r="H35" s="1"/>
  <c r="G48" i="1" s="1"/>
  <c r="G8" i="15" s="1"/>
  <c r="L79" i="4"/>
  <c r="I69"/>
  <c r="L69"/>
  <c r="L11"/>
  <c r="F22" i="7"/>
  <c r="L39" i="4"/>
  <c r="M84" i="7"/>
  <c r="G95" s="1"/>
  <c r="I79" i="4"/>
  <c r="L29"/>
  <c r="U16" i="9" s="1"/>
  <c r="F12" s="1"/>
  <c r="F32" s="1"/>
  <c r="E45" i="1" s="1"/>
  <c r="E5" i="15" s="1"/>
  <c r="L95" i="7"/>
  <c r="E46" i="9"/>
  <c r="D59" i="1" s="1"/>
  <c r="D19" i="15" s="1"/>
  <c r="D22" i="9"/>
  <c r="D49" s="1"/>
  <c r="C62" i="1" s="1"/>
  <c r="C22" i="15" s="1"/>
  <c r="D51" i="9"/>
  <c r="C64" i="1" s="1"/>
  <c r="C24" i="15" s="1"/>
  <c r="O17" i="9"/>
  <c r="D15" s="1"/>
  <c r="D35" s="1"/>
  <c r="C48" i="1" s="1"/>
  <c r="C8" i="15" s="1"/>
  <c r="D48" i="9"/>
  <c r="C61" i="1" s="1"/>
  <c r="C21" i="15" s="1"/>
  <c r="C102" i="4"/>
  <c r="C64" s="1"/>
  <c r="F73"/>
  <c r="F40"/>
  <c r="F51" s="1"/>
  <c r="S24" i="1"/>
  <c r="S17" i="13" s="1"/>
  <c r="F102" i="4"/>
  <c r="F64" s="1"/>
  <c r="C73"/>
  <c r="C83"/>
  <c r="C109" s="1"/>
  <c r="C66" s="1"/>
  <c r="C40"/>
  <c r="C51" s="1"/>
  <c r="B12" i="17"/>
  <c r="B28" s="1"/>
  <c r="I12"/>
  <c r="I28" s="1"/>
  <c r="G40" i="4"/>
  <c r="G51" s="1"/>
  <c r="D40"/>
  <c r="D51" s="1"/>
  <c r="C12" i="17"/>
  <c r="C28" s="1"/>
  <c r="D22" i="7"/>
  <c r="N39" i="4"/>
  <c r="N11"/>
  <c r="M12" i="17" s="1"/>
  <c r="Q17" i="9"/>
  <c r="F15" s="1"/>
  <c r="F35" s="1"/>
  <c r="E48" i="1" s="1"/>
  <c r="E8" i="15" s="1"/>
  <c r="D14" i="4"/>
  <c r="O24" i="1"/>
  <c r="O17" i="13" s="1"/>
  <c r="P16" i="9"/>
  <c r="I12" s="1"/>
  <c r="I32" s="1"/>
  <c r="H45" i="1" s="1"/>
  <c r="H5" i="15" s="1"/>
  <c r="E29" i="4"/>
  <c r="K39"/>
  <c r="K11"/>
  <c r="J12" i="17" s="1"/>
  <c r="C77" i="4"/>
  <c r="H47" i="9"/>
  <c r="G60" i="1" s="1"/>
  <c r="G20" i="15" s="1"/>
  <c r="I19" i="9"/>
  <c r="H21"/>
  <c r="K29" i="4"/>
  <c r="T16" i="9"/>
  <c r="H11" i="4"/>
  <c r="G12" i="17" s="1"/>
  <c r="H27" i="7"/>
  <c r="F19" i="9"/>
  <c r="E47"/>
  <c r="D60" i="1" s="1"/>
  <c r="D20" i="15" s="1"/>
  <c r="E21" i="9"/>
  <c r="G38" i="4" l="1"/>
  <c r="F24" i="17" s="1"/>
  <c r="E37" i="4"/>
  <c r="D23" i="17" s="1"/>
  <c r="D25" s="1"/>
  <c r="N95" i="7"/>
  <c r="N37" i="4"/>
  <c r="M23" i="17" s="1"/>
  <c r="M25" s="1"/>
  <c r="C68" i="4"/>
  <c r="C70" s="1"/>
  <c r="C37" s="1"/>
  <c r="B23" i="17" s="1"/>
  <c r="B25" s="1"/>
  <c r="D38" i="4"/>
  <c r="C24" i="17" s="1"/>
  <c r="H12" i="9"/>
  <c r="H32" s="1"/>
  <c r="G45" i="1" s="1"/>
  <c r="G5" i="15" s="1"/>
  <c r="B31" i="7"/>
  <c r="E11" i="4"/>
  <c r="D12" i="17" s="1"/>
  <c r="F77" i="4"/>
  <c r="F82" s="1"/>
  <c r="J25" i="1"/>
  <c r="J18" i="13" s="1"/>
  <c r="H95" i="7"/>
  <c r="J38" i="4"/>
  <c r="I24" i="17" s="1"/>
  <c r="L77" i="4"/>
  <c r="H37"/>
  <c r="G23" i="17" s="1"/>
  <c r="G25" s="1"/>
  <c r="K37" i="4"/>
  <c r="J23" i="17" s="1"/>
  <c r="J25" s="1"/>
  <c r="F68" i="4"/>
  <c r="E28" i="7"/>
  <c r="I68" i="4"/>
  <c r="I70" s="1"/>
  <c r="I77"/>
  <c r="I83"/>
  <c r="I109" s="1"/>
  <c r="I66" s="1"/>
  <c r="L68"/>
  <c r="L70" s="1"/>
  <c r="F12" i="17"/>
  <c r="F28" s="1"/>
  <c r="J14" i="4"/>
  <c r="I14" i="17" s="1"/>
  <c r="E24" i="1"/>
  <c r="E17" i="13" s="1"/>
  <c r="H29" i="4"/>
  <c r="G14"/>
  <c r="T25" i="1" s="1"/>
  <c r="T18" i="13" s="1"/>
  <c r="M38" i="4"/>
  <c r="L24" i="17" s="1"/>
  <c r="L83" i="4"/>
  <c r="L109" s="1"/>
  <c r="L66" s="1"/>
  <c r="J12" i="9"/>
  <c r="J32" s="1"/>
  <c r="I45" i="1" s="1"/>
  <c r="I5" i="15" s="1"/>
  <c r="N29" i="4"/>
  <c r="L102"/>
  <c r="L64" s="1"/>
  <c r="M95" i="7"/>
  <c r="I40" i="4"/>
  <c r="I51" s="1"/>
  <c r="I73"/>
  <c r="D24" i="1"/>
  <c r="D17" i="13" s="1"/>
  <c r="H12" i="17"/>
  <c r="H28" s="1"/>
  <c r="L73" i="4"/>
  <c r="I24" i="1"/>
  <c r="I17" i="13" s="1"/>
  <c r="K12" i="17"/>
  <c r="K28" s="1"/>
  <c r="L40" i="4"/>
  <c r="L51" s="1"/>
  <c r="I102"/>
  <c r="I64" s="1"/>
  <c r="D12" i="9"/>
  <c r="D32" s="1"/>
  <c r="C45" i="1" s="1"/>
  <c r="C5" i="15" s="1"/>
  <c r="U17" i="9"/>
  <c r="J15" s="1"/>
  <c r="J35" s="1"/>
  <c r="I48" i="1" s="1"/>
  <c r="I8" i="15" s="1"/>
  <c r="I95" i="7"/>
  <c r="C82" i="4"/>
  <c r="H38"/>
  <c r="G24" i="17" s="1"/>
  <c r="K38" i="4"/>
  <c r="J24" i="17" s="1"/>
  <c r="O25" i="1"/>
  <c r="O18" i="13" s="1"/>
  <c r="C14" i="17"/>
  <c r="E25" i="1"/>
  <c r="E18" i="13" s="1"/>
  <c r="K24" i="1"/>
  <c r="K17" i="13" s="1"/>
  <c r="N60" i="4"/>
  <c r="K39" i="1" s="1"/>
  <c r="N14" i="4"/>
  <c r="M14" i="17" s="1"/>
  <c r="M29" s="1"/>
  <c r="P17" i="9"/>
  <c r="E15" s="1"/>
  <c r="E35" s="1"/>
  <c r="D48" i="1" s="1"/>
  <c r="D8" i="15" s="1"/>
  <c r="G12" i="9"/>
  <c r="G32" s="1"/>
  <c r="F45" i="1" s="1"/>
  <c r="F5" i="15" s="1"/>
  <c r="E14" i="4"/>
  <c r="D14" i="17" s="1"/>
  <c r="D29" s="1"/>
  <c r="P24" i="1"/>
  <c r="P17" i="13" s="1"/>
  <c r="H22" i="9"/>
  <c r="H49" s="1"/>
  <c r="G62" i="1" s="1"/>
  <c r="G22" i="15" s="1"/>
  <c r="H48" i="9"/>
  <c r="G61" i="1" s="1"/>
  <c r="G21" i="15" s="1"/>
  <c r="H24" i="9"/>
  <c r="R17"/>
  <c r="G15" s="1"/>
  <c r="G35" s="1"/>
  <c r="F48" i="1" s="1"/>
  <c r="F8" i="15" s="1"/>
  <c r="K12" i="9"/>
  <c r="K32" s="1"/>
  <c r="J45" i="1" s="1"/>
  <c r="J5" i="15" s="1"/>
  <c r="F70" i="4"/>
  <c r="F74" s="1"/>
  <c r="F60" s="1"/>
  <c r="S39" i="1" s="1"/>
  <c r="K60" i="4"/>
  <c r="F39" i="1" s="1"/>
  <c r="K14" i="4"/>
  <c r="J14" i="17" s="1"/>
  <c r="J29" s="1"/>
  <c r="F24" i="1"/>
  <c r="F17" i="13" s="1"/>
  <c r="T17" i="9"/>
  <c r="I15" s="1"/>
  <c r="I35" s="1"/>
  <c r="H48" i="1" s="1"/>
  <c r="H8" i="15" s="1"/>
  <c r="E12" i="9"/>
  <c r="E32" s="1"/>
  <c r="D45" i="1" s="1"/>
  <c r="D5" i="15" s="1"/>
  <c r="G44" i="4"/>
  <c r="F27" i="17" s="1"/>
  <c r="G96" i="4"/>
  <c r="T17" i="1"/>
  <c r="G61" i="4"/>
  <c r="T66" i="1" s="1"/>
  <c r="H14" i="4"/>
  <c r="G14" i="17" s="1"/>
  <c r="G29" s="1"/>
  <c r="U24" i="1"/>
  <c r="U17" i="13" s="1"/>
  <c r="H60" i="4"/>
  <c r="U39" i="1" s="1"/>
  <c r="I46" i="9"/>
  <c r="H59" i="1" s="1"/>
  <c r="H19" i="15" s="1"/>
  <c r="I20" i="9"/>
  <c r="I23"/>
  <c r="I50" s="1"/>
  <c r="H63" i="1" s="1"/>
  <c r="H23" i="15" s="1"/>
  <c r="E22" i="9"/>
  <c r="E49" s="1"/>
  <c r="D62" i="1" s="1"/>
  <c r="D22" i="15" s="1"/>
  <c r="E24" i="9"/>
  <c r="E48"/>
  <c r="D61" i="1" s="1"/>
  <c r="D21" i="15" s="1"/>
  <c r="F23" i="9"/>
  <c r="F50" s="1"/>
  <c r="E63" i="1" s="1"/>
  <c r="E23" i="15" s="1"/>
  <c r="F20" i="9"/>
  <c r="F46"/>
  <c r="E59" i="1" s="1"/>
  <c r="E19" i="15" s="1"/>
  <c r="D44" i="4" l="1"/>
  <c r="C27" i="17" s="1"/>
  <c r="J44" i="4"/>
  <c r="I27" i="17" s="1"/>
  <c r="E38" i="4"/>
  <c r="D24" i="17" s="1"/>
  <c r="C52" i="4"/>
  <c r="G55" s="1"/>
  <c r="J96"/>
  <c r="M44"/>
  <c r="L27" i="17" s="1"/>
  <c r="E17" i="1"/>
  <c r="M96" i="4"/>
  <c r="F14" i="17"/>
  <c r="N38" i="4"/>
  <c r="M24" i="17" s="1"/>
  <c r="J17" i="1"/>
  <c r="C74" i="4"/>
  <c r="C60" s="1"/>
  <c r="N39" i="1" s="1"/>
  <c r="J61" i="4"/>
  <c r="E66" i="1" s="1"/>
  <c r="C38" i="4"/>
  <c r="C96" s="1"/>
  <c r="C98" s="1"/>
  <c r="O17" i="1"/>
  <c r="D96" i="4"/>
  <c r="I82"/>
  <c r="D61"/>
  <c r="O66" i="1" s="1"/>
  <c r="M61" i="4"/>
  <c r="J66" i="1" s="1"/>
  <c r="E60" i="4"/>
  <c r="P39" i="1" s="1"/>
  <c r="I74" i="4"/>
  <c r="I60" s="1"/>
  <c r="D39" i="1" s="1"/>
  <c r="L82" i="4"/>
  <c r="L74"/>
  <c r="L60" s="1"/>
  <c r="I39" i="1" s="1"/>
  <c r="K61" i="4"/>
  <c r="F66" i="1" s="1"/>
  <c r="F17"/>
  <c r="K96" i="4"/>
  <c r="K44"/>
  <c r="J27" i="17" s="1"/>
  <c r="H44" i="4"/>
  <c r="G27" i="17" s="1"/>
  <c r="U17" i="1"/>
  <c r="H96" i="4"/>
  <c r="H61"/>
  <c r="U66" i="1" s="1"/>
  <c r="U25"/>
  <c r="U18" i="13" s="1"/>
  <c r="H41" i="4"/>
  <c r="P25" i="1"/>
  <c r="P18" i="13" s="1"/>
  <c r="E41" i="4"/>
  <c r="K25" i="1"/>
  <c r="K18" i="13" s="1"/>
  <c r="N41" i="4"/>
  <c r="F25" i="1"/>
  <c r="F18" i="13" s="1"/>
  <c r="K41" i="4"/>
  <c r="F37"/>
  <c r="I37"/>
  <c r="J18" i="1"/>
  <c r="H85" i="7"/>
  <c r="L29"/>
  <c r="D60" i="4"/>
  <c r="O39" i="1" s="1"/>
  <c r="D43" i="4"/>
  <c r="C30" i="17" s="1"/>
  <c r="O18" i="1"/>
  <c r="L37" i="4"/>
  <c r="I21" i="9"/>
  <c r="I47"/>
  <c r="H60" i="1" s="1"/>
  <c r="H20" i="15" s="1"/>
  <c r="J19" i="9"/>
  <c r="R29" i="7"/>
  <c r="T18" i="1"/>
  <c r="G43" i="4"/>
  <c r="F30" i="17" s="1"/>
  <c r="J85" i="7"/>
  <c r="G60" i="4"/>
  <c r="T39" i="1" s="1"/>
  <c r="H25" i="9"/>
  <c r="H52" s="1"/>
  <c r="G65" i="1" s="1"/>
  <c r="G25" i="15" s="1"/>
  <c r="H51" i="9"/>
  <c r="G64" i="1" s="1"/>
  <c r="G24" i="15" s="1"/>
  <c r="G19" i="9"/>
  <c r="F47"/>
  <c r="E60" i="1" s="1"/>
  <c r="E20" i="15" s="1"/>
  <c r="F21" i="9"/>
  <c r="E25"/>
  <c r="E52" s="1"/>
  <c r="D65" i="1" s="1"/>
  <c r="D25" i="15" s="1"/>
  <c r="E51" i="9"/>
  <c r="D64" i="1" s="1"/>
  <c r="D24" i="15" s="1"/>
  <c r="N96" i="4" l="1"/>
  <c r="N61"/>
  <c r="K66" i="1" s="1"/>
  <c r="E18"/>
  <c r="J43" i="4"/>
  <c r="L86" i="7" s="1"/>
  <c r="L85"/>
  <c r="H96" s="1"/>
  <c r="N44" i="4"/>
  <c r="M27" i="17" s="1"/>
  <c r="J60" i="4"/>
  <c r="E39" i="1" s="1"/>
  <c r="K17"/>
  <c r="O35" i="7"/>
  <c r="E61" i="4"/>
  <c r="P66" i="1" s="1"/>
  <c r="E44" i="4"/>
  <c r="D27" i="17" s="1"/>
  <c r="P17" i="1"/>
  <c r="E96" i="4"/>
  <c r="O22" i="7"/>
  <c r="C61" i="4"/>
  <c r="N66" i="1" s="1"/>
  <c r="M43" i="4"/>
  <c r="L30" i="17" s="1"/>
  <c r="C99" i="4"/>
  <c r="C100" s="1"/>
  <c r="C103" s="1"/>
  <c r="C63" s="1"/>
  <c r="N85" i="7"/>
  <c r="L96" s="1"/>
  <c r="N17" i="1"/>
  <c r="M60" i="4"/>
  <c r="J39" i="1" s="1"/>
  <c r="B24" i="17"/>
  <c r="N96" i="7"/>
  <c r="J96"/>
  <c r="N43" i="4"/>
  <c r="M30" i="17" s="1"/>
  <c r="F18" i="1"/>
  <c r="K43" i="4"/>
  <c r="J30" i="17" s="1"/>
  <c r="P35" i="7"/>
  <c r="H43" i="4"/>
  <c r="H45" s="1"/>
  <c r="U18" i="1"/>
  <c r="N22" i="7"/>
  <c r="R27"/>
  <c r="I38" i="4"/>
  <c r="H23" i="17"/>
  <c r="H25" s="1"/>
  <c r="F38" i="4"/>
  <c r="E23" i="17"/>
  <c r="E25" s="1"/>
  <c r="L38" i="4"/>
  <c r="K24" i="17" s="1"/>
  <c r="K23"/>
  <c r="K25" s="1"/>
  <c r="J46" i="4"/>
  <c r="I33" i="17" s="1"/>
  <c r="I30"/>
  <c r="M46" i="4"/>
  <c r="L33" i="17" s="1"/>
  <c r="D46" i="4"/>
  <c r="C33" i="17" s="1"/>
  <c r="H86" i="7"/>
  <c r="O19" i="1"/>
  <c r="D45" i="4"/>
  <c r="C31" i="17" s="1"/>
  <c r="B49" i="7"/>
  <c r="I24" i="9"/>
  <c r="I22"/>
  <c r="I49" s="1"/>
  <c r="H62" i="1" s="1"/>
  <c r="H22" i="15" s="1"/>
  <c r="I48" i="9"/>
  <c r="H61" i="1" s="1"/>
  <c r="H21" i="15" s="1"/>
  <c r="G46" i="4"/>
  <c r="F33" i="17" s="1"/>
  <c r="J86" i="7"/>
  <c r="N97" s="1"/>
  <c r="H49"/>
  <c r="T19" i="1"/>
  <c r="G45" i="4"/>
  <c r="J46" i="9"/>
  <c r="I59" i="1" s="1"/>
  <c r="I19" i="15" s="1"/>
  <c r="J20" i="9"/>
  <c r="J23"/>
  <c r="J50" s="1"/>
  <c r="I63" i="1" s="1"/>
  <c r="I23" i="15" s="1"/>
  <c r="E55" i="7"/>
  <c r="G20" i="9"/>
  <c r="G23"/>
  <c r="G50" s="1"/>
  <c r="F63" i="1" s="1"/>
  <c r="F23" i="15" s="1"/>
  <c r="G46" i="9"/>
  <c r="F59" i="1" s="1"/>
  <c r="F19" i="15" s="1"/>
  <c r="F24" i="9"/>
  <c r="F22"/>
  <c r="F49" s="1"/>
  <c r="E62" i="1" s="1"/>
  <c r="E22" i="15" s="1"/>
  <c r="F48" i="9"/>
  <c r="E61" i="1" s="1"/>
  <c r="E21" i="15" s="1"/>
  <c r="K18" i="1" l="1"/>
  <c r="E19"/>
  <c r="J45" i="4"/>
  <c r="I31" i="17" s="1"/>
  <c r="E43" i="4"/>
  <c r="D30" i="17" s="1"/>
  <c r="L31" i="7"/>
  <c r="P18" i="1"/>
  <c r="N86" i="7"/>
  <c r="C105" i="4"/>
  <c r="C107" s="1"/>
  <c r="M45"/>
  <c r="L31" i="17" s="1"/>
  <c r="C110" i="4"/>
  <c r="C65" s="1"/>
  <c r="C44" s="1"/>
  <c r="G85" i="7" s="1"/>
  <c r="E42"/>
  <c r="J19" i="1"/>
  <c r="H97" i="7"/>
  <c r="J97"/>
  <c r="L97"/>
  <c r="F55"/>
  <c r="F19" i="1"/>
  <c r="K46" i="4"/>
  <c r="J33" i="17" s="1"/>
  <c r="N45" i="4"/>
  <c r="M31" i="17" s="1"/>
  <c r="N46" i="4"/>
  <c r="M33" i="17" s="1"/>
  <c r="D42" i="7"/>
  <c r="K45" i="4"/>
  <c r="J31" i="17" s="1"/>
  <c r="K19" i="1"/>
  <c r="H46" i="4"/>
  <c r="G33" i="17" s="1"/>
  <c r="H47" i="7"/>
  <c r="G30" i="17"/>
  <c r="U19" i="1"/>
  <c r="B51" i="7"/>
  <c r="I17" i="1"/>
  <c r="G56" i="4"/>
  <c r="G43" i="17" s="1"/>
  <c r="C43"/>
  <c r="L96" i="4"/>
  <c r="L98" s="1"/>
  <c r="G31" i="17"/>
  <c r="L61" i="4"/>
  <c r="I66" i="1" s="1"/>
  <c r="G47" i="4"/>
  <c r="F34" i="17" s="1"/>
  <c r="F31"/>
  <c r="H24"/>
  <c r="D17" i="1"/>
  <c r="I96" i="4"/>
  <c r="I61"/>
  <c r="D66" i="1" s="1"/>
  <c r="E24" i="17"/>
  <c r="S17" i="1"/>
  <c r="F96" i="4"/>
  <c r="F61"/>
  <c r="S66" i="1" s="1"/>
  <c r="D47" i="4"/>
  <c r="I51" i="9"/>
  <c r="H64" i="1" s="1"/>
  <c r="H24" i="15" s="1"/>
  <c r="I25" i="9"/>
  <c r="I52" s="1"/>
  <c r="H65" i="1" s="1"/>
  <c r="H25" i="15" s="1"/>
  <c r="J21" i="9"/>
  <c r="J47"/>
  <c r="I60" i="1" s="1"/>
  <c r="I20" i="15" s="1"/>
  <c r="K19" i="9"/>
  <c r="G47"/>
  <c r="F60" i="1" s="1"/>
  <c r="F20" i="15" s="1"/>
  <c r="G21" i="9"/>
  <c r="F25"/>
  <c r="F52" s="1"/>
  <c r="E65" i="1" s="1"/>
  <c r="E25" i="15" s="1"/>
  <c r="F51" i="9"/>
  <c r="E64" i="1" s="1"/>
  <c r="E24" i="15" s="1"/>
  <c r="E46" i="4" l="1"/>
  <c r="D33" i="17" s="1"/>
  <c r="E45" i="4"/>
  <c r="D31" i="17" s="1"/>
  <c r="J47" i="4"/>
  <c r="I34" i="17" s="1"/>
  <c r="P19" i="1"/>
  <c r="M47" i="4"/>
  <c r="L34" i="17" s="1"/>
  <c r="B27"/>
  <c r="N18" i="1"/>
  <c r="C43" i="4"/>
  <c r="B47" i="7" s="1"/>
  <c r="L27"/>
  <c r="N47" i="4"/>
  <c r="O42" i="7" s="1"/>
  <c r="K47" i="4"/>
  <c r="J34" i="17" s="1"/>
  <c r="H47" i="4"/>
  <c r="H87" i="7"/>
  <c r="C34" i="17"/>
  <c r="G48" i="4"/>
  <c r="F35" i="17" s="1"/>
  <c r="T20" i="1"/>
  <c r="L99" i="4"/>
  <c r="L100" s="1"/>
  <c r="L110" s="1"/>
  <c r="L65" s="1"/>
  <c r="O20" i="1"/>
  <c r="J87" i="7"/>
  <c r="S49"/>
  <c r="F99" i="4"/>
  <c r="F100" s="1"/>
  <c r="F98"/>
  <c r="I99"/>
  <c r="I100" s="1"/>
  <c r="I98"/>
  <c r="M49" i="7"/>
  <c r="D48" i="4"/>
  <c r="K23" i="9"/>
  <c r="K50" s="1"/>
  <c r="J63" i="1" s="1"/>
  <c r="J23" i="15" s="1"/>
  <c r="K46" i="9"/>
  <c r="J59" i="1" s="1"/>
  <c r="J19" i="15" s="1"/>
  <c r="K20" i="9"/>
  <c r="J24"/>
  <c r="J48"/>
  <c r="I61" i="1" s="1"/>
  <c r="I21" i="15" s="1"/>
  <c r="J22" i="9"/>
  <c r="J49" s="1"/>
  <c r="I62" i="1" s="1"/>
  <c r="I22" i="15" s="1"/>
  <c r="G24" i="9"/>
  <c r="G22"/>
  <c r="G49" s="1"/>
  <c r="F62" i="1" s="1"/>
  <c r="F22" i="15" s="1"/>
  <c r="G48" i="9"/>
  <c r="F61" i="1" s="1"/>
  <c r="F21" i="15" s="1"/>
  <c r="E47" i="4" l="1"/>
  <c r="D34" i="17" s="1"/>
  <c r="E20" i="1"/>
  <c r="L87" i="7"/>
  <c r="H98" s="1"/>
  <c r="P55"/>
  <c r="J48" i="4"/>
  <c r="I35" i="17" s="1"/>
  <c r="M48" i="4"/>
  <c r="L35" i="17" s="1"/>
  <c r="P42" i="7"/>
  <c r="C46" i="4"/>
  <c r="B33" i="17" s="1"/>
  <c r="N87" i="7"/>
  <c r="L98" s="1"/>
  <c r="J20" i="1"/>
  <c r="B30" i="17"/>
  <c r="N19" i="1"/>
  <c r="C45" i="4"/>
  <c r="B31" i="17" s="1"/>
  <c r="G86" i="7"/>
  <c r="J98"/>
  <c r="N98"/>
  <c r="N48" i="4"/>
  <c r="M35" i="17" s="1"/>
  <c r="M34"/>
  <c r="K20" i="1"/>
  <c r="F20"/>
  <c r="K48" i="4"/>
  <c r="J35" i="17" s="1"/>
  <c r="Q55" i="7"/>
  <c r="T21" i="1"/>
  <c r="G34" i="17"/>
  <c r="H48" i="4"/>
  <c r="S47" i="7"/>
  <c r="U20" i="1"/>
  <c r="M68" i="7"/>
  <c r="J88"/>
  <c r="L105" i="4"/>
  <c r="L107" s="1"/>
  <c r="L103"/>
  <c r="L63" s="1"/>
  <c r="L44" s="1"/>
  <c r="K27" i="17" s="1"/>
  <c r="O21" i="1"/>
  <c r="C35" i="17"/>
  <c r="F110" i="4"/>
  <c r="F65" s="1"/>
  <c r="F103"/>
  <c r="F63" s="1"/>
  <c r="F105"/>
  <c r="F107" s="1"/>
  <c r="I103"/>
  <c r="I63" s="1"/>
  <c r="I105"/>
  <c r="I107" s="1"/>
  <c r="I110"/>
  <c r="I65" s="1"/>
  <c r="H88" i="7"/>
  <c r="G68"/>
  <c r="J21" i="1"/>
  <c r="N88" i="7"/>
  <c r="J61"/>
  <c r="K21" i="9"/>
  <c r="K47"/>
  <c r="J60" i="1" s="1"/>
  <c r="J20" i="15" s="1"/>
  <c r="J51" i="9"/>
  <c r="I64" i="1" s="1"/>
  <c r="I24" i="15" s="1"/>
  <c r="J25" i="9"/>
  <c r="J52" s="1"/>
  <c r="I65" i="1" s="1"/>
  <c r="I25" i="15" s="1"/>
  <c r="G25" i="9"/>
  <c r="G52" s="1"/>
  <c r="F65" i="1" s="1"/>
  <c r="F25" i="15" s="1"/>
  <c r="G51" i="9"/>
  <c r="F64" i="1" s="1"/>
  <c r="F24" i="15" s="1"/>
  <c r="E21" i="1" l="1"/>
  <c r="E48" i="4"/>
  <c r="D35" i="17" s="1"/>
  <c r="M51" i="7"/>
  <c r="P20" i="1"/>
  <c r="L88" i="7"/>
  <c r="H99" s="1"/>
  <c r="J74"/>
  <c r="C47" i="4"/>
  <c r="B34" i="17" s="1"/>
  <c r="J99" i="7"/>
  <c r="N99"/>
  <c r="L99"/>
  <c r="K21" i="1"/>
  <c r="I61" i="7"/>
  <c r="K74"/>
  <c r="F21" i="1"/>
  <c r="G35" i="17"/>
  <c r="M66" i="7"/>
  <c r="U21" i="1"/>
  <c r="F44" i="4"/>
  <c r="E27" i="17" s="1"/>
  <c r="C48" i="4"/>
  <c r="B35" i="17" s="1"/>
  <c r="G87" i="7"/>
  <c r="I44" i="4"/>
  <c r="P22" i="7"/>
  <c r="L43" i="4"/>
  <c r="K30" i="17" s="1"/>
  <c r="I18" i="1"/>
  <c r="M85" i="7"/>
  <c r="G96" s="1"/>
  <c r="K24" i="9"/>
  <c r="K48"/>
  <c r="J61" i="1" s="1"/>
  <c r="J21" i="15" s="1"/>
  <c r="K22" i="9"/>
  <c r="K49" s="1"/>
  <c r="J62" i="1" s="1"/>
  <c r="J22" i="15" s="1"/>
  <c r="M47" i="7" l="1"/>
  <c r="P21" i="1"/>
  <c r="G70" i="7"/>
  <c r="C49" i="4"/>
  <c r="B36" i="17" s="1"/>
  <c r="N20" i="1"/>
  <c r="R31" i="7"/>
  <c r="S18" i="1"/>
  <c r="F43" i="4"/>
  <c r="E30" i="17" s="1"/>
  <c r="I85" i="7"/>
  <c r="I96" s="1"/>
  <c r="N21" i="1"/>
  <c r="G88" i="7"/>
  <c r="G66"/>
  <c r="H27" i="17"/>
  <c r="D18" i="1"/>
  <c r="N35" i="7"/>
  <c r="K85"/>
  <c r="I43" i="4"/>
  <c r="L46"/>
  <c r="K33" i="17" s="1"/>
  <c r="F42" i="7"/>
  <c r="L45" i="4"/>
  <c r="K31" i="17" s="1"/>
  <c r="I19" i="1"/>
  <c r="M86" i="7"/>
  <c r="G97" s="1"/>
  <c r="K51" i="9"/>
  <c r="J64" i="1" s="1"/>
  <c r="J24" i="15" s="1"/>
  <c r="K25" i="9"/>
  <c r="K52" s="1"/>
  <c r="J65" i="1" s="1"/>
  <c r="J25" i="15" s="1"/>
  <c r="C50" i="4" l="1"/>
  <c r="B37" i="17" s="1"/>
  <c r="L49" i="7"/>
  <c r="K96"/>
  <c r="M96"/>
  <c r="I86"/>
  <c r="I97" s="1"/>
  <c r="H51"/>
  <c r="S19" i="1"/>
  <c r="F46" i="4"/>
  <c r="E33" i="17" s="1"/>
  <c r="F45" i="4"/>
  <c r="E31" i="17" s="1"/>
  <c r="H30"/>
  <c r="I46" i="4"/>
  <c r="H33" i="17" s="1"/>
  <c r="D19" i="1"/>
  <c r="I45" i="4"/>
  <c r="H31" i="17" s="1"/>
  <c r="D55" i="7"/>
  <c r="K86"/>
  <c r="L47" i="4"/>
  <c r="K34" i="17" s="1"/>
  <c r="F68" i="7" l="1"/>
  <c r="K97"/>
  <c r="M97"/>
  <c r="F47" i="4"/>
  <c r="S20" i="1" s="1"/>
  <c r="I47" i="4"/>
  <c r="H34" i="17" s="1"/>
  <c r="M87" i="7"/>
  <c r="G98" s="1"/>
  <c r="I20" i="1"/>
  <c r="L48" i="4"/>
  <c r="K35" i="17" s="1"/>
  <c r="L49" i="4"/>
  <c r="K36" i="17" s="1"/>
  <c r="Q42" i="7"/>
  <c r="F48" i="4" l="1"/>
  <c r="E35" i="17" s="1"/>
  <c r="E34"/>
  <c r="S51" i="7"/>
  <c r="I87"/>
  <c r="I98" s="1"/>
  <c r="F49" i="4"/>
  <c r="E36" i="17" s="1"/>
  <c r="K87" i="7"/>
  <c r="I49" i="4"/>
  <c r="H36" i="17" s="1"/>
  <c r="I48" i="4"/>
  <c r="H35" i="17" s="1"/>
  <c r="D20" i="1"/>
  <c r="O55" i="7"/>
  <c r="C55" i="4"/>
  <c r="T90"/>
  <c r="O48" i="7" s="1"/>
  <c r="I21" i="1"/>
  <c r="M88" i="7"/>
  <c r="G99" s="1"/>
  <c r="K61"/>
  <c r="L50" i="4"/>
  <c r="O41" i="7"/>
  <c r="K98" l="1"/>
  <c r="M98"/>
  <c r="F50" i="4"/>
  <c r="N68" i="7" s="1"/>
  <c r="T49"/>
  <c r="I88"/>
  <c r="I99" s="1"/>
  <c r="S21" i="1"/>
  <c r="M70" i="7"/>
  <c r="C56" i="4"/>
  <c r="G40" i="17" s="1"/>
  <c r="C40"/>
  <c r="J60" i="7"/>
  <c r="K37" i="17"/>
  <c r="K88" i="7"/>
  <c r="I74"/>
  <c r="D21" i="1"/>
  <c r="U90" i="4"/>
  <c r="I67" i="7" s="1"/>
  <c r="O56"/>
  <c r="I50" i="4"/>
  <c r="K99" i="7" l="1"/>
  <c r="M99"/>
  <c r="E37" i="17"/>
  <c r="J75" i="7"/>
  <c r="H37" i="17"/>
</calcChain>
</file>

<file path=xl/comments1.xml><?xml version="1.0" encoding="utf-8"?>
<comments xmlns="http://schemas.openxmlformats.org/spreadsheetml/2006/main">
  <authors>
    <author>Milan Zlatkovic</author>
  </authors>
  <commentList>
    <comment ref="O5" authorId="0">
      <text>
        <r>
          <rPr>
            <b/>
            <sz val="9"/>
            <color indexed="81"/>
            <rFont val="Tahoma"/>
            <family val="2"/>
          </rPr>
          <t>Milan Zlatkovic:</t>
        </r>
        <r>
          <rPr>
            <sz val="9"/>
            <color indexed="81"/>
            <rFont val="Tahoma"/>
            <family val="2"/>
          </rPr>
          <t xml:space="preserve">
Seconds per phase</t>
        </r>
      </text>
    </comment>
    <comment ref="O7" authorId="0">
      <text>
        <r>
          <rPr>
            <b/>
            <sz val="9"/>
            <color indexed="81"/>
            <rFont val="Tahoma"/>
            <family val="2"/>
          </rPr>
          <t>Milan Zlatkovic:</t>
        </r>
        <r>
          <rPr>
            <sz val="9"/>
            <color indexed="81"/>
            <rFont val="Tahoma"/>
            <family val="2"/>
          </rPr>
          <t xml:space="preserve">
&gt;=50 s</t>
        </r>
      </text>
    </comment>
    <comment ref="O8" author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text>
        <r>
          <rPr>
            <b/>
            <sz val="9"/>
            <color indexed="81"/>
            <rFont val="Tahoma"/>
            <family val="2"/>
          </rPr>
          <t>Milan Zlatkovic:</t>
        </r>
        <r>
          <rPr>
            <sz val="9"/>
            <color indexed="81"/>
            <rFont val="Tahoma"/>
            <family val="2"/>
          </rPr>
          <t xml:space="preserve">
Prot+perm included here</t>
        </r>
      </text>
    </comment>
    <comment ref="V15" authorId="0">
      <text>
        <r>
          <rPr>
            <b/>
            <sz val="9"/>
            <color indexed="81"/>
            <rFont val="Tahoma"/>
            <family val="2"/>
          </rPr>
          <t>Milan Zlatkovic:</t>
        </r>
        <r>
          <rPr>
            <sz val="9"/>
            <color indexed="81"/>
            <rFont val="Tahoma"/>
            <family val="2"/>
          </rPr>
          <t xml:space="preserve">
Prot+perm included here</t>
        </r>
      </text>
    </comment>
    <comment ref="AM15" authorId="0">
      <text>
        <r>
          <rPr>
            <b/>
            <sz val="9"/>
            <color indexed="81"/>
            <rFont val="Tahoma"/>
            <family val="2"/>
          </rPr>
          <t>Milan Zlatkovic:</t>
        </r>
        <r>
          <rPr>
            <sz val="9"/>
            <color indexed="81"/>
            <rFont val="Tahoma"/>
            <family val="2"/>
          </rPr>
          <t xml:space="preserve">
Prot+perm included here</t>
        </r>
      </text>
    </comment>
    <comment ref="BD15" authorId="0">
      <text>
        <r>
          <rPr>
            <b/>
            <sz val="9"/>
            <color indexed="81"/>
            <rFont val="Tahoma"/>
            <family val="2"/>
          </rPr>
          <t>Milan Zlatkovic:</t>
        </r>
        <r>
          <rPr>
            <sz val="9"/>
            <color indexed="81"/>
            <rFont val="Tahoma"/>
            <family val="2"/>
          </rPr>
          <t xml:space="preserve">
Prot+perm included here</t>
        </r>
      </text>
    </comment>
    <comment ref="D23" authorId="0">
      <text>
        <r>
          <rPr>
            <b/>
            <sz val="9"/>
            <color indexed="81"/>
            <rFont val="Tahoma"/>
            <family val="2"/>
          </rPr>
          <t>Milan Zlatkovic:</t>
        </r>
        <r>
          <rPr>
            <sz val="9"/>
            <color indexed="81"/>
            <rFont val="Tahoma"/>
            <family val="2"/>
          </rPr>
          <t xml:space="preserve">
Prot+perm included here</t>
        </r>
      </text>
    </comment>
    <comment ref="V23" authorId="0">
      <text>
        <r>
          <rPr>
            <b/>
            <sz val="9"/>
            <color indexed="81"/>
            <rFont val="Tahoma"/>
            <family val="2"/>
          </rPr>
          <t>Milan Zlatkovic:</t>
        </r>
        <r>
          <rPr>
            <sz val="9"/>
            <color indexed="81"/>
            <rFont val="Tahoma"/>
            <family val="2"/>
          </rPr>
          <t xml:space="preserve">
Prot+perm included here</t>
        </r>
      </text>
    </comment>
    <comment ref="AM23" authorId="0">
      <text>
        <r>
          <rPr>
            <b/>
            <sz val="9"/>
            <color indexed="81"/>
            <rFont val="Tahoma"/>
            <family val="2"/>
          </rPr>
          <t>Milan Zlatkovic:</t>
        </r>
        <r>
          <rPr>
            <sz val="9"/>
            <color indexed="81"/>
            <rFont val="Tahoma"/>
            <family val="2"/>
          </rPr>
          <t xml:space="preserve">
Prot+perm included here</t>
        </r>
      </text>
    </comment>
    <comment ref="BD23" authorId="0">
      <text>
        <r>
          <rPr>
            <b/>
            <sz val="9"/>
            <color indexed="81"/>
            <rFont val="Tahoma"/>
            <family val="2"/>
          </rPr>
          <t>Milan Zlatkovic:</t>
        </r>
        <r>
          <rPr>
            <sz val="9"/>
            <color indexed="81"/>
            <rFont val="Tahoma"/>
            <family val="2"/>
          </rPr>
          <t xml:space="preserve">
Prot+perm included here</t>
        </r>
      </text>
    </comment>
    <comment ref="D29" authorId="0">
      <text>
        <r>
          <rPr>
            <b/>
            <sz val="9"/>
            <color indexed="81"/>
            <rFont val="Tahoma"/>
            <family val="2"/>
          </rPr>
          <t>Milan Zlatkovic:</t>
        </r>
        <r>
          <rPr>
            <sz val="9"/>
            <color indexed="81"/>
            <rFont val="Tahoma"/>
            <family val="2"/>
          </rPr>
          <t xml:space="preserve">
Prot+perm included here</t>
        </r>
      </text>
    </comment>
    <comment ref="V29" authorId="0">
      <text>
        <r>
          <rPr>
            <b/>
            <sz val="9"/>
            <color indexed="81"/>
            <rFont val="Tahoma"/>
            <family val="2"/>
          </rPr>
          <t>Milan Zlatkovic:</t>
        </r>
        <r>
          <rPr>
            <sz val="9"/>
            <color indexed="81"/>
            <rFont val="Tahoma"/>
            <family val="2"/>
          </rPr>
          <t xml:space="preserve">
Prot+perm included here</t>
        </r>
      </text>
    </comment>
    <comment ref="AM29" authorId="0">
      <text>
        <r>
          <rPr>
            <b/>
            <sz val="9"/>
            <color indexed="81"/>
            <rFont val="Tahoma"/>
            <family val="2"/>
          </rPr>
          <t>Milan Zlatkovic:</t>
        </r>
        <r>
          <rPr>
            <sz val="9"/>
            <color indexed="81"/>
            <rFont val="Tahoma"/>
            <family val="2"/>
          </rPr>
          <t xml:space="preserve">
Prot+perm included here</t>
        </r>
      </text>
    </comment>
    <comment ref="BD29" authorId="0">
      <text>
        <r>
          <rPr>
            <b/>
            <sz val="9"/>
            <color indexed="81"/>
            <rFont val="Tahoma"/>
            <family val="2"/>
          </rPr>
          <t>Milan Zlatkovic:</t>
        </r>
        <r>
          <rPr>
            <sz val="9"/>
            <color indexed="81"/>
            <rFont val="Tahoma"/>
            <family val="2"/>
          </rPr>
          <t xml:space="preserve">
Prot+perm included here</t>
        </r>
      </text>
    </comment>
    <comment ref="D33" authorId="0">
      <text>
        <r>
          <rPr>
            <b/>
            <sz val="9"/>
            <color indexed="81"/>
            <rFont val="Tahoma"/>
            <family val="2"/>
          </rPr>
          <t>Milan Zlatkovic:</t>
        </r>
        <r>
          <rPr>
            <sz val="9"/>
            <color indexed="81"/>
            <rFont val="Tahoma"/>
            <family val="2"/>
          </rPr>
          <t xml:space="preserve">
Prot+perm included here</t>
        </r>
      </text>
    </comment>
    <comment ref="V33" authorId="0">
      <text>
        <r>
          <rPr>
            <b/>
            <sz val="9"/>
            <color indexed="81"/>
            <rFont val="Tahoma"/>
            <family val="2"/>
          </rPr>
          <t>Milan Zlatkovic:</t>
        </r>
        <r>
          <rPr>
            <sz val="9"/>
            <color indexed="81"/>
            <rFont val="Tahoma"/>
            <family val="2"/>
          </rPr>
          <t xml:space="preserve">
Prot+perm included here</t>
        </r>
      </text>
    </comment>
    <comment ref="AM33" authorId="0">
      <text>
        <r>
          <rPr>
            <b/>
            <sz val="9"/>
            <color indexed="81"/>
            <rFont val="Tahoma"/>
            <family val="2"/>
          </rPr>
          <t>Milan Zlatkovic:</t>
        </r>
        <r>
          <rPr>
            <sz val="9"/>
            <color indexed="81"/>
            <rFont val="Tahoma"/>
            <family val="2"/>
          </rPr>
          <t xml:space="preserve">
Prot+perm included here</t>
        </r>
      </text>
    </comment>
    <comment ref="BD33" author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text>
        <r>
          <rPr>
            <b/>
            <sz val="9"/>
            <color indexed="81"/>
            <rFont val="Tahoma"/>
            <family val="2"/>
          </rPr>
          <t>Milan Zlatkovic:</t>
        </r>
        <r>
          <rPr>
            <sz val="9"/>
            <color indexed="81"/>
            <rFont val="Tahoma"/>
            <family val="2"/>
          </rPr>
          <t xml:space="preserve">
Incorporates No of lanes times 12 feet, plus two 6-foot shoulders</t>
        </r>
      </text>
    </comment>
    <comment ref="B9" authorId="0">
      <text>
        <r>
          <rPr>
            <b/>
            <sz val="9"/>
            <color indexed="81"/>
            <rFont val="Tahoma"/>
            <family val="2"/>
          </rPr>
          <t>Milan Zlatkovic:</t>
        </r>
        <r>
          <rPr>
            <sz val="9"/>
            <color indexed="81"/>
            <rFont val="Tahoma"/>
            <family val="2"/>
          </rPr>
          <t xml:space="preserve">
If the split is less than 15 seconds, no ped crossing</t>
        </r>
      </text>
    </comment>
    <comment ref="B10" author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<sst xmlns="http://schemas.openxmlformats.org/spreadsheetml/2006/main" count="1301" uniqueCount="536">
  <si>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</si>
  <si>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</si>
  <si>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</si>
  <si>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</si>
  <si>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</si>
  <si>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</si>
  <si>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</si>
  <si>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</si>
  <si>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</si>
  <si>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</si>
  <si>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</si>
  <si>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</si>
  <si>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</si>
  <si>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</si>
  <si>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</si>
  <si>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</si>
  <si>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</si>
  <si>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</si>
  <si>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</si>
  <si>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</si>
  <si>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</si>
  <si>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</si>
  <si>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</si>
  <si>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</si>
  <si>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</si>
  <si>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</si>
  <si>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</si>
  <si>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</si>
  <si>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</si>
  <si>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</si>
  <si>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</si>
  <si>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</si>
  <si>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</si>
  <si>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</si>
  <si>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</si>
  <si>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</si>
  <si>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</si>
  <si>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</si>
  <si>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</si>
  <si>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</si>
  <si>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</si>
  <si>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</si>
  <si>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</si>
  <si>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</si>
  <si>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</si>
  <si>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</si>
  <si>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</si>
  <si>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</si>
  <si>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</si>
  <si>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</si>
  <si>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t>
  </si>
  <si>
    <t>SatFlowPerm</t>
  </si>
  <si>
    <t>SatFlowRTOR</t>
  </si>
  <si>
    <t>HeadwayFact</t>
  </si>
  <si>
    <t>Volume</t>
  </si>
  <si>
    <t>Peds</t>
  </si>
  <si>
    <t>Bicycles</t>
  </si>
  <si>
    <t>PHF</t>
  </si>
  <si>
    <t>Growth</t>
  </si>
  <si>
    <t>HeavyVehicles</t>
  </si>
  <si>
    <t>BusStops</t>
  </si>
  <si>
    <t>Midblock</t>
  </si>
  <si>
    <t>Distance</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</si>
  <si>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</si>
  <si>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</si>
  <si>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</si>
  <si>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</si>
  <si>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</si>
  <si>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</si>
  <si>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</si>
  <si>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</si>
  <si>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</si>
  <si>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</si>
  <si>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</si>
  <si>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</si>
  <si>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</si>
  <si>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</si>
  <si>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</si>
  <si>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</si>
  <si>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</si>
  <si>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</si>
  <si>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</si>
  <si>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</si>
  <si>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</si>
  <si>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</si>
  <si>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</si>
  <si>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</si>
  <si>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</si>
  <si>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</si>
  <si>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</si>
  <si>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</si>
  <si>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</si>
  <si>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</si>
  <si>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</si>
  <si>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</si>
  <si>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</si>
  <si>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</si>
  <si>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</si>
  <si>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</si>
  <si>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</si>
  <si>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</si>
  <si>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</si>
  <si>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</si>
  <si>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</si>
  <si>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</si>
  <si>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</si>
  <si>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</si>
  <si>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</si>
  <si>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</si>
  <si>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</si>
  <si>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</si>
  <si>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</si>
  <si>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</si>
  <si>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</si>
  <si>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</si>
  <si>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</si>
  <si>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</si>
  <si>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</si>
  <si>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</si>
  <si>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</si>
  <si>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</si>
  <si>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</si>
  <si>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</si>
  <si>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</si>
  <si>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</si>
  <si>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</si>
  <si>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</si>
  <si>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</si>
  <si>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</si>
  <si>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</si>
  <si>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</si>
  <si>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</si>
  <si>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</si>
  <si>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</si>
  <si>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</si>
  <si>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</si>
  <si>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</si>
  <si>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</si>
  <si>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</si>
  <si>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</si>
  <si>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</si>
  <si>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</si>
  <si>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</si>
  <si>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</si>
  <si>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</si>
  <si>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</si>
  <si>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</si>
  <si>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</si>
  <si>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</si>
  <si>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</si>
  <si>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</si>
  <si>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</si>
  <si>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</si>
  <si>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</si>
  <si>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</si>
  <si>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</si>
  <si>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</si>
  <si>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</si>
  <si>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</si>
  <si>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</si>
  <si>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</si>
  <si>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</si>
  <si>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</si>
  <si>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</si>
  <si>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</si>
  <si>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</si>
  <si>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</si>
  <si>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</si>
  <si>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</si>
  <si>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</si>
  <si>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</si>
  <si>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</si>
  <si>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</si>
  <si>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</si>
  <si>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</si>
  <si>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</si>
  <si>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</si>
  <si>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</si>
  <si>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</si>
  <si>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</si>
  <si>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</si>
  <si>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</si>
  <si>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</si>
  <si>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</si>
  <si>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</si>
  <si>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</si>
  <si>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</si>
  <si>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</si>
  <si>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</si>
  <si>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</si>
  <si>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</si>
  <si>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</si>
  <si>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</si>
  <si>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</si>
  <si>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</si>
  <si>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</si>
  <si>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</si>
  <si>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</si>
  <si>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</si>
  <si>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</si>
  <si>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</si>
  <si>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</si>
  <si>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</si>
  <si>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</si>
  <si>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</si>
  <si>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</si>
  <si>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</si>
  <si>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</si>
  <si>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</si>
  <si>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</si>
  <si>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</si>
  <si>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</si>
  <si>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</si>
  <si>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</si>
  <si>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</si>
  <si>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</si>
  <si>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</si>
  <si>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</si>
  <si>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</si>
  <si>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</si>
  <si>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</si>
  <si>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</si>
  <si>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</si>
  <si>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</si>
  <si>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</si>
  <si>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</si>
  <si>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</si>
  <si>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</si>
  <si>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</si>
  <si>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</si>
  <si>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</si>
  <si>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</si>
  <si>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</si>
  <si>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</si>
  <si>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</si>
  <si>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</si>
  <si>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</si>
  <si>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</si>
  <si>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</si>
  <si>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</si>
  <si>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</si>
  <si>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</si>
  <si>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</si>
  <si>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</si>
  <si>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</si>
  <si>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</si>
  <si>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</si>
  <si>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</si>
  <si>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</si>
  <si>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</si>
  <si>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</si>
  <si>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</si>
  <si>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</si>
  <si>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</si>
  <si>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</si>
  <si>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</si>
  <si>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</si>
  <si>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</si>
  <si>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</si>
  <si>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</si>
  <si>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</si>
  <si>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</si>
  <si>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</si>
  <si>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</si>
  <si>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</si>
  <si>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</si>
  <si>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</si>
  <si>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</si>
  <si>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</si>
  <si>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</si>
  <si>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</si>
  <si>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</si>
  <si>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</si>
  <si>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</si>
  <si>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</si>
  <si>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</si>
  <si>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</si>
  <si>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</si>
  <si>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</si>
  <si>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</si>
  <si>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</si>
  <si>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</si>
  <si>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</si>
  <si>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</si>
  <si>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</si>
  <si>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</si>
  <si>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</si>
  <si>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</si>
  <si>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</si>
  <si>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</si>
  <si>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</si>
  <si>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</si>
  <si>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</si>
  <si>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</si>
  <si>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</si>
  <si>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</si>
  <si>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</si>
  <si>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</si>
  <si>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</si>
  <si>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</si>
  <si>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</si>
  <si>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</si>
  <si>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</si>
  <si>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Yes</t>
  </si>
  <si>
    <t>No</t>
  </si>
  <si>
    <t>MovementRef</t>
  </si>
  <si>
    <t>Min C</t>
  </si>
  <si>
    <t>Min B1</t>
  </si>
  <si>
    <t>Min B2</t>
  </si>
  <si>
    <t>Ccalc</t>
  </si>
  <si>
    <t>MIN Splits!</t>
  </si>
  <si>
    <t>Protected + permitted</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</si>
  <si>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</si>
  <si>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</si>
  <si>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</si>
  <si>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</si>
  <si>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</si>
  <si>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</si>
  <si>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</si>
  <si>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</si>
  <si>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</si>
  <si>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</si>
  <si>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</si>
  <si>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</si>
  <si>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</si>
  <si>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</si>
  <si>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</si>
  <si>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</si>
  <si>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</si>
  <si>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</si>
  <si>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ö</t>
  </si>
  <si>
    <t>ð</t>
  </si>
  <si>
    <t>÷</t>
  </si>
  <si>
    <t>ï</t>
  </si>
  <si>
    <t>õ</t>
  </si>
  <si>
    <t>ñ</t>
  </si>
  <si>
    <t>ø</t>
  </si>
  <si>
    <t>ò</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</si>
  <si>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</si>
  <si>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</si>
  <si>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</si>
  <si>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</si>
  <si>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</si>
  <si>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</si>
  <si>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</si>
  <si>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</si>
  <si>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</si>
  <si>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</si>
  <si>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</si>
  <si>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</si>
  <si>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</si>
  <si>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</si>
  <si>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</si>
  <si>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</si>
  <si>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</si>
  <si>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</si>
  <si>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</si>
  <si>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</si>
  <si>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</si>
  <si>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</si>
  <si>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</si>
  <si>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</si>
  <si>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</si>
  <si>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</si>
  <si>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</si>
  <si>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</si>
  <si>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</si>
  <si>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</si>
  <si>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</si>
  <si>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</si>
  <si>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</si>
  <si>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</si>
  <si>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</si>
  <si>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</si>
  <si>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</si>
  <si>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</si>
  <si>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r>
      <t>NB peds?</t>
    </r>
    <r>
      <rPr>
        <sz val="10"/>
        <color indexed="8"/>
        <rFont val="Symbol"/>
        <family val="1"/>
        <charset val="2"/>
      </rPr>
      <t>¯</t>
    </r>
  </si>
  <si>
    <r>
      <t>SB peds?</t>
    </r>
    <r>
      <rPr>
        <sz val="10"/>
        <color indexed="8"/>
        <rFont val="Symbol"/>
        <family val="1"/>
        <charset val="2"/>
      </rPr>
      <t>¯</t>
    </r>
  </si>
  <si>
    <r>
      <t>EB peds?</t>
    </r>
    <r>
      <rPr>
        <sz val="10"/>
        <color indexed="8"/>
        <rFont val="Symbol"/>
        <family val="1"/>
        <charset val="2"/>
      </rPr>
      <t>¯</t>
    </r>
  </si>
  <si>
    <r>
      <t>WB peds?</t>
    </r>
    <r>
      <rPr>
        <sz val="10"/>
        <color indexed="8"/>
        <rFont val="Symbol"/>
        <family val="1"/>
        <charset val="2"/>
      </rPr>
      <t>¯</t>
    </r>
  </si>
  <si>
    <r>
      <t>Manually input LT treatment?</t>
    </r>
    <r>
      <rPr>
        <b/>
        <sz val="10"/>
        <color indexed="10"/>
        <rFont val="Symbol"/>
        <family val="1"/>
        <charset val="2"/>
      </rPr>
      <t>¯</t>
    </r>
  </si>
  <si>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</si>
  <si>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</si>
  <si>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</si>
  <si>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</si>
  <si>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</si>
  <si>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</si>
  <si>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</si>
  <si>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</si>
  <si>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</si>
  <si>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</si>
  <si>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</si>
  <si>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</si>
  <si>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</si>
  <si>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</si>
  <si>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</si>
  <si>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</si>
  <si>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</si>
  <si>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</si>
  <si>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</si>
  <si>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</si>
  <si>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</si>
  <si>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</si>
  <si>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</si>
  <si>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</si>
  <si>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</si>
  <si>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</si>
  <si>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</si>
  <si>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</si>
  <si>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</si>
  <si>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</si>
  <si>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</si>
  <si>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</si>
  <si>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</si>
  <si>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</si>
  <si>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</si>
  <si>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</si>
  <si>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</si>
  <si>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</si>
  <si>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</si>
  <si>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</si>
  <si>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</si>
  <si>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</si>
  <si>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</si>
  <si>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</si>
  <si>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</si>
  <si>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</si>
  <si>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</si>
  <si>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</si>
  <si>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</si>
  <si>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r>
      <t>Area type</t>
    </r>
    <r>
      <rPr>
        <sz val="10"/>
        <color indexed="8"/>
        <rFont val="Symbol"/>
        <family val="1"/>
        <charset val="2"/>
      </rPr>
      <t>®</t>
    </r>
  </si>
  <si>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</si>
  <si>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</si>
  <si>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</si>
  <si>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</si>
  <si>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</si>
  <si>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</si>
  <si>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</si>
  <si>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</si>
  <si>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</si>
  <si>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</si>
  <si>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</si>
  <si>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</si>
  <si>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</si>
  <si>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</si>
  <si>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</si>
  <si>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</si>
  <si>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</si>
  <si>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</si>
  <si>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</si>
  <si>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</si>
  <si>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</si>
  <si>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</si>
  <si>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</si>
  <si>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</si>
  <si>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</si>
  <si>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</si>
  <si>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</si>
  <si>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</si>
  <si>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Lane Group Data</t>
  </si>
  <si>
    <t>Layout Data</t>
  </si>
  <si>
    <t>INTNAME</t>
  </si>
  <si>
    <t>TYPE</t>
  </si>
  <si>
    <t>X</t>
  </si>
  <si>
    <t>Y</t>
  </si>
  <si>
    <t>NID</t>
  </si>
  <si>
    <t>SID</t>
  </si>
  <si>
    <t>EID</t>
  </si>
  <si>
    <t>WID</t>
  </si>
  <si>
    <t>NNAME</t>
  </si>
  <si>
    <t>SNAME</t>
  </si>
  <si>
    <t>ENAME</t>
  </si>
  <si>
    <t>WNAME</t>
  </si>
  <si>
    <t>External #1</t>
  </si>
  <si>
    <t>External #2</t>
  </si>
  <si>
    <t>External #3</t>
  </si>
  <si>
    <t>External #4</t>
  </si>
  <si>
    <t>Turning Movement Count</t>
  </si>
  <si>
    <t>60 Minute Counts</t>
  </si>
  <si>
    <t>DATE</t>
  </si>
  <si>
    <t>TIME</t>
  </si>
  <si>
    <t>Phasing Data</t>
  </si>
  <si>
    <t>Timing Plans</t>
  </si>
  <si>
    <t>PLANID</t>
  </si>
  <si>
    <t>CLR</t>
  </si>
  <si>
    <t>INPUT ALL KNOWN DATA IN ASSIGNED FIELDS; SELECT MANUAL INPUT OF LEFT TURN TREATMENT IF NEEDED; DEFINE IF PEDESTRIANS ARE PRESENT; VIEW RESULTS IN "SUMMARY SHEET"; ACTIVATE "SYNCHRO CSV EXPORT" TO CREATE CSV FILES FOR SYNCHRO</t>
  </si>
  <si>
    <t>v/s Ratio Permitted</t>
  </si>
  <si>
    <t>v/s Ratio Protected</t>
  </si>
  <si>
    <t>CritMovIndex</t>
  </si>
  <si>
    <t>ICU</t>
  </si>
  <si>
    <t>ICU LOS</t>
  </si>
  <si>
    <t>G</t>
  </si>
  <si>
    <t>H</t>
  </si>
  <si>
    <t>ICU LOS Lookup Table</t>
  </si>
  <si>
    <t>QEM Signalized Intersection Capacity Analysis</t>
  </si>
  <si>
    <t>Ideal Flow (vphpl)</t>
  </si>
  <si>
    <t>Total Lost Time (s)</t>
  </si>
  <si>
    <t>Lane Util. Factor Flu</t>
  </si>
  <si>
    <t>Frt</t>
  </si>
  <si>
    <t>Flt Protected</t>
  </si>
  <si>
    <t>Sat. Flow (prot)</t>
  </si>
  <si>
    <t>Flt Permitted</t>
  </si>
  <si>
    <t>Sat. Flow (perm)</t>
  </si>
  <si>
    <t>Volume (vph)</t>
  </si>
  <si>
    <t>Adj. Flow (vph)</t>
  </si>
  <si>
    <t>RTOR Reduction (vph)</t>
  </si>
  <si>
    <t>Lane Group Flow (vph)</t>
  </si>
  <si>
    <t>Turn Type</t>
  </si>
  <si>
    <t>Protected Phases</t>
  </si>
  <si>
    <t>Permitted Phases</t>
  </si>
  <si>
    <t>Effective Green, g (s)</t>
  </si>
  <si>
    <t>Display Green, G (s)</t>
  </si>
  <si>
    <t>Clearance Time (s)</t>
  </si>
  <si>
    <t>Display g/C Ratio</t>
  </si>
  <si>
    <t>Lane Grp Cap (vph)</t>
  </si>
  <si>
    <t>v/s Ratio Prot</t>
  </si>
  <si>
    <t>v/s Ratio Perm</t>
  </si>
  <si>
    <t>v/c Ratio</t>
  </si>
  <si>
    <t>Uniform delay, d1 (s)</t>
  </si>
  <si>
    <t>Progression factor</t>
  </si>
  <si>
    <t>Incremental Delay, d2 (s)</t>
  </si>
  <si>
    <t>Level of Service</t>
  </si>
  <si>
    <t>Intersection Summary</t>
  </si>
  <si>
    <t>HCM Average Control Delay</t>
  </si>
  <si>
    <t>HCM Volume to Capacity Ratio</t>
  </si>
  <si>
    <t>Actuated Cycle Length (s)</t>
  </si>
  <si>
    <t>Intersection Capacity Utilization</t>
  </si>
  <si>
    <t>HCM Level of Service</t>
  </si>
  <si>
    <t>Sum of Lost Time (s)</t>
  </si>
  <si>
    <t>ICU Level of Service</t>
  </si>
  <si>
    <t>Lane Configurations (#)</t>
  </si>
  <si>
    <t>QEM Report</t>
  </si>
  <si>
    <t>tRef</t>
  </si>
  <si>
    <t>tAdj</t>
  </si>
  <si>
    <t>Foothill</t>
  </si>
  <si>
    <t>Wakara</t>
  </si>
</sst>
</file>

<file path=xl/styles.xml><?xml version="1.0" encoding="utf-8"?>
<styleSheet xmlns="http://schemas.openxmlformats.org/spreadsheetml/2006/main">
  <numFmts count="2">
    <numFmt numFmtId="164" formatCode="0.0"/>
    <numFmt numFmtId="165" formatCode="0.0%"/>
  </numFmts>
  <fonts count="26">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color indexed="8"/>
      <name val="Symbol"/>
      <family val="1"/>
      <charset val="2"/>
    </font>
    <font>
      <sz val="10"/>
      <name val="Times New Roman"/>
      <family val="1"/>
    </font>
    <font>
      <b/>
      <sz val="10"/>
      <color indexed="10"/>
      <name val="Symbol"/>
      <family val="1"/>
      <charset val="2"/>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color theme="1"/>
      <name val="Times New Roman"/>
      <family val="1"/>
    </font>
    <font>
      <b/>
      <sz val="10"/>
      <color theme="1"/>
      <name val="Times New Roman"/>
      <family val="1"/>
    </font>
    <font>
      <b/>
      <sz val="10"/>
      <color theme="1"/>
      <name val="Calibri"/>
      <family val="2"/>
      <scheme val="minor"/>
    </font>
    <font>
      <sz val="10"/>
      <color theme="0"/>
      <name val="Times New Roman"/>
      <family val="1"/>
    </font>
    <font>
      <b/>
      <sz val="10"/>
      <color rgb="FFFF0000"/>
      <name val="Times New Roman"/>
      <family val="1"/>
    </font>
    <font>
      <sz val="10"/>
      <name val="Calibri"/>
      <family val="2"/>
      <scheme val="minor"/>
    </font>
    <font>
      <b/>
      <sz val="11"/>
      <color rgb="FF000000"/>
      <name val="Times New Roman"/>
      <family val="1"/>
    </font>
    <font>
      <sz val="13"/>
      <color theme="1"/>
      <name val="Calibri"/>
      <family val="2"/>
      <scheme val="minor"/>
    </font>
    <font>
      <b/>
      <sz val="15"/>
      <color theme="1"/>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5050"/>
        <bgColor indexed="64"/>
      </patternFill>
    </fill>
    <fill>
      <patternFill patternType="solid">
        <fgColor theme="6" tint="0.39997558519241921"/>
        <bgColor indexed="64"/>
      </patternFill>
    </fill>
  </fills>
  <borders count="25">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s>
  <cellStyleXfs count="2">
    <xf numFmtId="0" fontId="0" fillId="0" borderId="0"/>
    <xf numFmtId="0" fontId="1" fillId="0" borderId="0"/>
  </cellStyleXfs>
  <cellXfs count="56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11" fillId="0" borderId="0" xfId="0" applyFont="1" applyFill="1"/>
    <xf numFmtId="0" fontId="11" fillId="0" borderId="0" xfId="0" applyFont="1"/>
    <xf numFmtId="0" fontId="12" fillId="0" borderId="0" xfId="0" applyFont="1" applyFill="1" applyAlignment="1">
      <alignment horizontal="center"/>
    </xf>
    <xf numFmtId="0" fontId="11" fillId="0" borderId="0" xfId="0" applyFont="1" applyFill="1" applyBorder="1"/>
    <xf numFmtId="37" fontId="12" fillId="0" borderId="0" xfId="0" applyNumberFormat="1" applyFont="1" applyFill="1" applyBorder="1" applyAlignment="1">
      <alignment horizontal="center"/>
    </xf>
    <xf numFmtId="0" fontId="11" fillId="0" borderId="0" xfId="1" applyFont="1"/>
    <xf numFmtId="0" fontId="11" fillId="0" borderId="0" xfId="1" applyFont="1" applyFill="1"/>
    <xf numFmtId="0" fontId="12" fillId="0" borderId="0" xfId="1" applyFont="1" applyAlignment="1">
      <alignment horizontal="center"/>
    </xf>
    <xf numFmtId="37" fontId="11" fillId="0" borderId="0" xfId="1" applyNumberFormat="1" applyFont="1" applyBorder="1" applyAlignment="1">
      <alignment horizontal="center"/>
    </xf>
    <xf numFmtId="0" fontId="11" fillId="0" borderId="0" xfId="1" applyFont="1" applyBorder="1" applyAlignment="1">
      <alignment horizontal="center"/>
    </xf>
    <xf numFmtId="0" fontId="11" fillId="0" borderId="0" xfId="1" applyFont="1" applyAlignment="1">
      <alignment horizontal="center"/>
    </xf>
    <xf numFmtId="0" fontId="11" fillId="0" borderId="0" xfId="1" applyFont="1" applyFill="1" applyBorder="1"/>
    <xf numFmtId="0" fontId="11" fillId="0" borderId="0" xfId="1" applyFont="1" applyBorder="1"/>
    <xf numFmtId="0" fontId="12" fillId="0" borderId="0" xfId="0" applyFont="1" applyFill="1" applyBorder="1" applyAlignment="1">
      <alignment horizontal="center"/>
    </xf>
    <xf numFmtId="0" fontId="11" fillId="0" borderId="0" xfId="0" applyFont="1" applyAlignment="1">
      <alignment horizontal="left"/>
    </xf>
    <xf numFmtId="0" fontId="11" fillId="0" borderId="0" xfId="1" applyFont="1" applyFill="1" applyAlignment="1">
      <alignment horizontal="center"/>
    </xf>
    <xf numFmtId="0" fontId="11" fillId="0" borderId="0" xfId="0" applyFont="1" applyBorder="1"/>
    <xf numFmtId="0" fontId="11" fillId="2" borderId="0" xfId="0" applyFont="1" applyFill="1" applyAlignment="1">
      <alignment horizontal="left"/>
    </xf>
    <xf numFmtId="37" fontId="12" fillId="0" borderId="0" xfId="1" applyNumberFormat="1" applyFont="1" applyFill="1" applyBorder="1" applyAlignment="1">
      <alignment horizontal="center"/>
    </xf>
    <xf numFmtId="0" fontId="11" fillId="0" borderId="0" xfId="1" applyFont="1" applyFill="1" applyBorder="1" applyAlignment="1">
      <alignment horizontal="center"/>
    </xf>
    <xf numFmtId="37" fontId="11" fillId="0" borderId="0" xfId="1" applyNumberFormat="1" applyFont="1" applyBorder="1" applyAlignment="1" applyProtection="1"/>
    <xf numFmtId="2" fontId="11" fillId="0" borderId="0" xfId="1" applyNumberFormat="1" applyFont="1" applyFill="1" applyBorder="1" applyAlignment="1" applyProtection="1"/>
    <xf numFmtId="18" fontId="12" fillId="0" borderId="0" xfId="1" applyNumberFormat="1" applyFont="1" applyFill="1" applyAlignment="1"/>
    <xf numFmtId="0" fontId="11" fillId="0" borderId="0" xfId="1" applyFont="1" applyAlignment="1"/>
    <xf numFmtId="0" fontId="11" fillId="0" borderId="0" xfId="1" applyFont="1" applyBorder="1" applyProtection="1"/>
    <xf numFmtId="0" fontId="11" fillId="0" borderId="0" xfId="1" applyFont="1" applyFill="1" applyBorder="1" applyProtection="1"/>
    <xf numFmtId="0" fontId="11" fillId="2" borderId="0" xfId="1" applyFont="1" applyFill="1" applyAlignment="1">
      <alignment horizontal="center"/>
    </xf>
    <xf numFmtId="0" fontId="11" fillId="2" borderId="0" xfId="1" applyFont="1" applyFill="1" applyBorder="1" applyAlignment="1">
      <alignment horizontal="center"/>
    </xf>
    <xf numFmtId="0" fontId="11" fillId="0" borderId="1" xfId="0" applyFont="1" applyFill="1" applyBorder="1"/>
    <xf numFmtId="0" fontId="0" fillId="0" borderId="1" xfId="0" applyFont="1" applyBorder="1"/>
    <xf numFmtId="0" fontId="11" fillId="0" borderId="2" xfId="1" applyFont="1" applyFill="1" applyBorder="1"/>
    <xf numFmtId="0" fontId="0" fillId="0" borderId="0" xfId="0" applyFont="1" applyFill="1" applyBorder="1"/>
    <xf numFmtId="0" fontId="0" fillId="0" borderId="0" xfId="0" applyFont="1" applyBorder="1"/>
    <xf numFmtId="0" fontId="9"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11" fillId="0" borderId="3" xfId="1" applyFont="1" applyFill="1" applyBorder="1" applyAlignment="1">
      <alignment horizontal="center"/>
    </xf>
    <xf numFmtId="0" fontId="11" fillId="3" borderId="0" xfId="1" applyFont="1" applyFill="1"/>
    <xf numFmtId="0" fontId="0" fillId="3" borderId="0" xfId="0" applyFont="1" applyFill="1"/>
    <xf numFmtId="0" fontId="9"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11"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11"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10"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9" fillId="3" borderId="0" xfId="0" applyFont="1" applyFill="1" applyAlignment="1">
      <alignment horizontal="center"/>
    </xf>
    <xf numFmtId="0" fontId="0" fillId="0" borderId="0" xfId="0" applyFont="1" applyFill="1"/>
    <xf numFmtId="0" fontId="9" fillId="0" borderId="0" xfId="0" applyFont="1" applyFill="1" applyAlignment="1">
      <alignment horizontal="right"/>
    </xf>
    <xf numFmtId="0" fontId="0" fillId="0" borderId="0" xfId="0" applyFont="1" applyFill="1" applyAlignment="1">
      <alignment horizontal="right"/>
    </xf>
    <xf numFmtId="37" fontId="11" fillId="0" borderId="0" xfId="1" applyNumberFormat="1" applyFont="1" applyFill="1" applyBorder="1" applyAlignment="1"/>
    <xf numFmtId="0" fontId="0" fillId="0" borderId="0" xfId="0" applyAlignment="1">
      <alignment horizontal="center"/>
    </xf>
    <xf numFmtId="0" fontId="11"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11"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2" fillId="0" borderId="0" xfId="0" applyFont="1" applyFill="1" applyAlignment="1">
      <alignment wrapText="1"/>
    </xf>
    <xf numFmtId="0" fontId="0" fillId="6" borderId="0" xfId="0" applyFill="1"/>
    <xf numFmtId="0" fontId="9" fillId="3" borderId="0" xfId="0" applyFont="1" applyFill="1"/>
    <xf numFmtId="0" fontId="10" fillId="0" borderId="0" xfId="0" applyFont="1"/>
    <xf numFmtId="0" fontId="0" fillId="0" borderId="0" xfId="0" applyAlignment="1"/>
    <xf numFmtId="0" fontId="9" fillId="3" borderId="0" xfId="0" applyFont="1" applyFill="1" applyAlignment="1" applyProtection="1"/>
    <xf numFmtId="0" fontId="9" fillId="3" borderId="0" xfId="0" applyFont="1" applyFill="1" applyProtection="1"/>
    <xf numFmtId="0" fontId="13" fillId="2" borderId="0" xfId="0" applyFont="1" applyFill="1"/>
    <xf numFmtId="0" fontId="11" fillId="0" borderId="0" xfId="0" applyFont="1" applyFill="1" applyAlignment="1">
      <alignment horizontal="center"/>
    </xf>
    <xf numFmtId="0" fontId="11" fillId="0" borderId="0" xfId="0" applyFont="1" applyFill="1" applyAlignment="1">
      <alignment horizontal="right"/>
    </xf>
    <xf numFmtId="0" fontId="11" fillId="0" borderId="0" xfId="0" applyFont="1" applyFill="1" applyAlignment="1">
      <alignment horizontal="left"/>
    </xf>
    <xf numFmtId="37" fontId="11" fillId="0" borderId="0" xfId="1" applyNumberFormat="1" applyFont="1" applyFill="1" applyBorder="1" applyAlignment="1" applyProtection="1"/>
    <xf numFmtId="37" fontId="11" fillId="0" borderId="0" xfId="1" applyNumberFormat="1" applyFont="1" applyFill="1" applyBorder="1" applyAlignment="1">
      <alignment horizontal="center"/>
    </xf>
    <xf numFmtId="0" fontId="11" fillId="0" borderId="0" xfId="1" applyNumberFormat="1" applyFont="1" applyFill="1" applyAlignment="1"/>
    <xf numFmtId="0" fontId="11" fillId="0" borderId="0" xfId="1" applyNumberFormat="1" applyFont="1" applyFill="1" applyAlignment="1">
      <alignment horizontal="center"/>
    </xf>
    <xf numFmtId="0" fontId="11" fillId="0" borderId="0" xfId="0" applyNumberFormat="1" applyFont="1" applyFill="1"/>
    <xf numFmtId="0" fontId="11" fillId="0" borderId="0" xfId="1" applyNumberFormat="1" applyFont="1" applyFill="1"/>
    <xf numFmtId="0" fontId="0" fillId="0" borderId="0" xfId="0" applyNumberFormat="1" applyFont="1" applyAlignment="1">
      <alignment horizontal="center"/>
    </xf>
    <xf numFmtId="0" fontId="11" fillId="0" borderId="0" xfId="0" applyFont="1" applyFill="1" applyAlignment="1">
      <alignment wrapText="1"/>
    </xf>
    <xf numFmtId="0" fontId="11" fillId="2" borderId="0" xfId="0" applyFont="1" applyFill="1"/>
    <xf numFmtId="0" fontId="11" fillId="2" borderId="0" xfId="0" applyFont="1" applyFill="1" applyAlignment="1">
      <alignment horizontal="center"/>
    </xf>
    <xf numFmtId="0" fontId="11" fillId="4" borderId="0" xfId="0" applyFont="1" applyFill="1"/>
    <xf numFmtId="0" fontId="11" fillId="4" borderId="0" xfId="0" applyFont="1" applyFill="1" applyAlignment="1">
      <alignment horizontal="center"/>
    </xf>
    <xf numFmtId="0" fontId="9"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11" fillId="6" borderId="0" xfId="0" applyFont="1" applyFill="1" applyAlignment="1">
      <alignment horizontal="left"/>
    </xf>
    <xf numFmtId="0" fontId="11" fillId="0" borderId="0" xfId="0" applyFont="1" applyBorder="1" applyAlignment="1">
      <alignment horizontal="left"/>
    </xf>
    <xf numFmtId="0" fontId="11"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11" fillId="5" borderId="0" xfId="0" applyFont="1" applyFill="1" applyAlignment="1">
      <alignment horizontal="left"/>
    </xf>
    <xf numFmtId="0" fontId="11" fillId="5" borderId="0" xfId="1" applyFont="1" applyFill="1" applyAlignment="1">
      <alignment horizontal="center"/>
    </xf>
    <xf numFmtId="0" fontId="11" fillId="5" borderId="0" xfId="1" applyFont="1" applyFill="1" applyBorder="1" applyAlignment="1">
      <alignment horizontal="center"/>
    </xf>
    <xf numFmtId="0" fontId="9"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11" fillId="7" borderId="0" xfId="1" applyFont="1" applyFill="1" applyAlignment="1">
      <alignment horizontal="center"/>
    </xf>
    <xf numFmtId="0" fontId="11" fillId="7" borderId="0" xfId="1" applyFont="1" applyFill="1" applyBorder="1" applyAlignment="1">
      <alignment horizontal="center"/>
    </xf>
    <xf numFmtId="0" fontId="0" fillId="7" borderId="0" xfId="0" applyFont="1" applyFill="1" applyAlignment="1">
      <alignment horizontal="left"/>
    </xf>
    <xf numFmtId="0" fontId="11"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11" fillId="0" borderId="0" xfId="0" applyNumberFormat="1" applyFont="1"/>
    <xf numFmtId="2" fontId="11" fillId="0" borderId="0" xfId="0" applyNumberFormat="1" applyFont="1" applyAlignment="1">
      <alignment horizontal="left"/>
    </xf>
    <xf numFmtId="2" fontId="11" fillId="0" borderId="0" xfId="0" applyNumberFormat="1" applyFont="1" applyBorder="1"/>
    <xf numFmtId="2" fontId="11" fillId="4" borderId="0" xfId="0" applyNumberFormat="1" applyFont="1" applyFill="1" applyAlignment="1">
      <alignment horizontal="left"/>
    </xf>
    <xf numFmtId="2" fontId="11" fillId="0" borderId="0" xfId="1" applyNumberFormat="1" applyFont="1" applyBorder="1" applyAlignment="1" applyProtection="1"/>
    <xf numFmtId="2" fontId="11" fillId="0" borderId="0" xfId="1" applyNumberFormat="1" applyFont="1"/>
    <xf numFmtId="2" fontId="12" fillId="0" borderId="0" xfId="1" applyNumberFormat="1" applyFont="1" applyFill="1" applyAlignment="1"/>
    <xf numFmtId="2" fontId="11" fillId="0" borderId="0" xfId="1" applyNumberFormat="1" applyFont="1" applyAlignment="1"/>
    <xf numFmtId="2" fontId="11" fillId="0" borderId="0" xfId="1" applyNumberFormat="1" applyFont="1" applyBorder="1" applyProtection="1"/>
    <xf numFmtId="2" fontId="11" fillId="0" borderId="0" xfId="1" applyNumberFormat="1" applyFont="1" applyBorder="1" applyAlignment="1">
      <alignment horizontal="center"/>
    </xf>
    <xf numFmtId="2" fontId="11" fillId="0" borderId="0" xfId="1" applyNumberFormat="1" applyFont="1" applyFill="1" applyBorder="1" applyProtection="1"/>
    <xf numFmtId="2" fontId="12" fillId="0" borderId="0" xfId="0" applyNumberFormat="1" applyFont="1" applyFill="1" applyBorder="1" applyAlignment="1">
      <alignment horizontal="center"/>
    </xf>
    <xf numFmtId="2" fontId="11" fillId="4" borderId="0" xfId="1" applyNumberFormat="1" applyFont="1" applyFill="1" applyAlignment="1">
      <alignment horizontal="center"/>
    </xf>
    <xf numFmtId="2" fontId="11" fillId="4" borderId="0" xfId="1" applyNumberFormat="1" applyFont="1" applyFill="1" applyBorder="1" applyAlignment="1">
      <alignment horizontal="center"/>
    </xf>
    <xf numFmtId="0" fontId="11" fillId="0" borderId="0" xfId="1" applyFont="1" applyFill="1" applyAlignment="1"/>
    <xf numFmtId="0" fontId="0" fillId="4" borderId="0" xfId="0" applyFill="1"/>
    <xf numFmtId="0" fontId="0" fillId="8" borderId="0" xfId="0" applyFill="1"/>
    <xf numFmtId="0" fontId="0" fillId="9" borderId="0" xfId="0" applyFill="1"/>
    <xf numFmtId="0" fontId="9" fillId="0" borderId="0" xfId="0" applyFont="1" applyFill="1" applyAlignment="1">
      <alignment horizontal="center"/>
    </xf>
    <xf numFmtId="0" fontId="12" fillId="0" borderId="0" xfId="1" applyFont="1" applyFill="1" applyAlignment="1">
      <alignment horizontal="center"/>
    </xf>
    <xf numFmtId="0" fontId="12" fillId="0" borderId="0" xfId="1" applyFont="1" applyFill="1" applyBorder="1" applyAlignment="1">
      <alignment horizontal="center"/>
    </xf>
    <xf numFmtId="0" fontId="9" fillId="0" borderId="0" xfId="0" applyFont="1" applyFill="1" applyAlignment="1">
      <alignment horizontal="left"/>
    </xf>
    <xf numFmtId="0" fontId="12"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11"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9"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9"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11" fillId="10" borderId="0" xfId="1" applyFont="1" applyFill="1" applyAlignment="1">
      <alignment horizontal="center"/>
    </xf>
    <xf numFmtId="0" fontId="9" fillId="5" borderId="0" xfId="0" applyFont="1" applyFill="1" applyBorder="1" applyAlignment="1">
      <alignment horizontal="center"/>
    </xf>
    <xf numFmtId="0" fontId="9" fillId="0" borderId="0" xfId="0" applyFont="1" applyBorder="1" applyAlignment="1">
      <alignment horizontal="right"/>
    </xf>
    <xf numFmtId="0" fontId="9" fillId="2" borderId="0" xfId="0" applyFont="1" applyFill="1" applyBorder="1" applyAlignment="1">
      <alignment horizontal="center"/>
    </xf>
    <xf numFmtId="0" fontId="9"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3" fillId="0" borderId="0" xfId="0" applyFont="1" applyFill="1" applyAlignment="1"/>
    <xf numFmtId="0" fontId="0" fillId="0" borderId="0" xfId="0" applyNumberFormat="1" applyFont="1" applyFill="1" applyBorder="1" applyAlignment="1">
      <alignment horizontal="center"/>
    </xf>
    <xf numFmtId="0" fontId="13"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11" borderId="0" xfId="0" applyFont="1" applyFill="1"/>
    <xf numFmtId="0" fontId="0" fillId="11" borderId="0" xfId="0" applyFill="1"/>
    <xf numFmtId="0" fontId="0" fillId="11" borderId="0" xfId="0" applyFont="1" applyFill="1"/>
    <xf numFmtId="0" fontId="9"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9" fillId="3" borderId="0" xfId="0" applyFont="1" applyFill="1" applyAlignment="1">
      <alignment horizontal="center"/>
    </xf>
    <xf numFmtId="0" fontId="0" fillId="0" borderId="0" xfId="0" applyAlignment="1">
      <alignment horizontal="center"/>
    </xf>
    <xf numFmtId="0" fontId="9"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2" fillId="3" borderId="0" xfId="0" applyFont="1" applyFill="1" applyBorder="1" applyAlignment="1">
      <alignment horizontal="center"/>
    </xf>
    <xf numFmtId="0" fontId="0" fillId="3" borderId="0" xfId="0" applyFill="1" applyBorder="1" applyAlignment="1">
      <alignment horizontal="center"/>
    </xf>
    <xf numFmtId="0" fontId="9"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9"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4" fillId="0" borderId="0" xfId="0" applyNumberFormat="1" applyFont="1" applyAlignment="1">
      <alignment horizontal="center"/>
    </xf>
    <xf numFmtId="0" fontId="9" fillId="0" borderId="5" xfId="0" applyNumberFormat="1" applyFont="1" applyBorder="1" applyAlignment="1">
      <alignment horizontal="center"/>
    </xf>
    <xf numFmtId="0" fontId="9" fillId="0" borderId="6" xfId="0" applyNumberFormat="1" applyFont="1" applyBorder="1" applyAlignment="1">
      <alignment horizontal="center"/>
    </xf>
    <xf numFmtId="0" fontId="9" fillId="0" borderId="7" xfId="0" applyNumberFormat="1" applyFont="1" applyBorder="1" applyAlignment="1">
      <alignment horizontal="center"/>
    </xf>
    <xf numFmtId="0" fontId="9" fillId="0" borderId="8" xfId="0" applyNumberFormat="1" applyFont="1" applyBorder="1" applyAlignment="1">
      <alignment horizontal="center"/>
    </xf>
    <xf numFmtId="0" fontId="9" fillId="0" borderId="0" xfId="0" applyNumberFormat="1" applyFont="1" applyBorder="1" applyAlignment="1">
      <alignment horizontal="center"/>
    </xf>
    <xf numFmtId="0" fontId="9" fillId="0" borderId="9" xfId="0" applyNumberFormat="1" applyFont="1" applyBorder="1" applyAlignment="1">
      <alignment horizontal="center"/>
    </xf>
    <xf numFmtId="0" fontId="15" fillId="0" borderId="8" xfId="0" applyNumberFormat="1" applyFont="1" applyBorder="1" applyAlignment="1">
      <alignment horizontal="center"/>
    </xf>
    <xf numFmtId="0" fontId="15" fillId="0" borderId="0" xfId="0" applyNumberFormat="1" applyFont="1" applyBorder="1" applyAlignment="1">
      <alignment horizontal="center"/>
    </xf>
    <xf numFmtId="0" fontId="15" fillId="0" borderId="9" xfId="0" applyNumberFormat="1" applyFont="1" applyBorder="1" applyAlignment="1">
      <alignment horizontal="center"/>
    </xf>
    <xf numFmtId="0" fontId="9" fillId="0" borderId="10" xfId="0" applyNumberFormat="1" applyFont="1" applyBorder="1" applyAlignment="1">
      <alignment horizontal="center"/>
    </xf>
    <xf numFmtId="0" fontId="9" fillId="0" borderId="11" xfId="0" applyNumberFormat="1" applyFont="1" applyBorder="1" applyAlignment="1">
      <alignment horizontal="center"/>
    </xf>
    <xf numFmtId="0" fontId="9" fillId="0" borderId="12" xfId="0" applyNumberFormat="1" applyFont="1" applyBorder="1" applyAlignment="1">
      <alignment horizontal="center"/>
    </xf>
    <xf numFmtId="0" fontId="0" fillId="0" borderId="0" xfId="0" applyAlignment="1">
      <alignment horizontal="center"/>
    </xf>
    <xf numFmtId="0" fontId="12" fillId="13" borderId="0" xfId="0" applyFont="1" applyFill="1" applyAlignment="1">
      <alignment horizontal="center"/>
    </xf>
    <xf numFmtId="0" fontId="13"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9"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9"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9"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11" fillId="0" borderId="0" xfId="0" applyNumberFormat="1" applyFont="1"/>
    <xf numFmtId="164" fontId="11" fillId="0" borderId="0" xfId="0" applyNumberFormat="1" applyFont="1" applyAlignment="1">
      <alignment horizontal="left"/>
    </xf>
    <xf numFmtId="164" fontId="11" fillId="0" borderId="0" xfId="0" applyNumberFormat="1" applyFont="1" applyBorder="1"/>
    <xf numFmtId="164" fontId="11" fillId="15" borderId="0" xfId="0" applyNumberFormat="1" applyFont="1" applyFill="1" applyAlignment="1">
      <alignment horizontal="left"/>
    </xf>
    <xf numFmtId="164" fontId="11" fillId="0" borderId="0" xfId="1" applyNumberFormat="1" applyFont="1" applyBorder="1" applyAlignment="1" applyProtection="1"/>
    <xf numFmtId="164" fontId="11" fillId="0" borderId="0" xfId="1" applyNumberFormat="1" applyFont="1"/>
    <xf numFmtId="164" fontId="11" fillId="0" borderId="0" xfId="1" applyNumberFormat="1" applyFont="1" applyFill="1" applyBorder="1" applyAlignment="1" applyProtection="1"/>
    <xf numFmtId="164" fontId="12" fillId="0" borderId="0" xfId="1" applyNumberFormat="1" applyFont="1" applyFill="1" applyAlignment="1"/>
    <xf numFmtId="164" fontId="11" fillId="0" borderId="0" xfId="1" applyNumberFormat="1" applyFont="1" applyAlignment="1"/>
    <xf numFmtId="164" fontId="11" fillId="0" borderId="0" xfId="1" applyNumberFormat="1" applyFont="1" applyBorder="1" applyProtection="1"/>
    <xf numFmtId="164" fontId="11" fillId="0" borderId="0" xfId="1" applyNumberFormat="1" applyFont="1" applyBorder="1" applyAlignment="1">
      <alignment horizontal="center"/>
    </xf>
    <xf numFmtId="164" fontId="11" fillId="0" borderId="0" xfId="1" applyNumberFormat="1" applyFont="1" applyFill="1" applyBorder="1" applyProtection="1"/>
    <xf numFmtId="164" fontId="12" fillId="0" borderId="0" xfId="0" applyNumberFormat="1" applyFont="1" applyFill="1" applyBorder="1" applyAlignment="1">
      <alignment horizontal="center"/>
    </xf>
    <xf numFmtId="164" fontId="11" fillId="15" borderId="0" xfId="1" applyNumberFormat="1" applyFont="1" applyFill="1" applyAlignment="1">
      <alignment horizontal="center"/>
    </xf>
    <xf numFmtId="164" fontId="11"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9" fillId="14" borderId="0" xfId="0" applyFont="1" applyFill="1"/>
    <xf numFmtId="0" fontId="9"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10" fillId="0" borderId="0" xfId="0" applyFont="1" applyFill="1" applyAlignment="1">
      <alignment horizontal="center"/>
    </xf>
    <xf numFmtId="0" fontId="0" fillId="14" borderId="0" xfId="0" applyFill="1" applyAlignment="1">
      <alignment horizontal="center" vertical="center"/>
    </xf>
    <xf numFmtId="0" fontId="9"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11"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9" fillId="0" borderId="0" xfId="0" applyNumberFormat="1" applyFont="1" applyFill="1" applyAlignment="1">
      <alignment vertical="center"/>
    </xf>
    <xf numFmtId="0" fontId="16" fillId="0" borderId="0" xfId="0" applyFont="1" applyFill="1" applyAlignment="1">
      <alignment vertical="center"/>
    </xf>
    <xf numFmtId="0" fontId="9"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9"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9" fillId="4" borderId="0" xfId="0" applyFont="1" applyFill="1" applyAlignment="1">
      <alignment horizontal="center"/>
    </xf>
    <xf numFmtId="0" fontId="9" fillId="3" borderId="0" xfId="0" applyFont="1" applyFill="1" applyAlignment="1">
      <alignment horizontal="center"/>
    </xf>
    <xf numFmtId="0" fontId="9" fillId="5" borderId="0" xfId="0" applyFont="1" applyFill="1" applyAlignment="1">
      <alignment horizontal="center"/>
    </xf>
    <xf numFmtId="0" fontId="0" fillId="0" borderId="0" xfId="0" applyAlignment="1">
      <alignment horizontal="center"/>
    </xf>
    <xf numFmtId="0" fontId="17" fillId="0" borderId="0" xfId="0" applyFont="1" applyAlignment="1">
      <alignment horizontal="center"/>
    </xf>
    <xf numFmtId="0" fontId="18" fillId="0" borderId="0" xfId="0" applyFont="1" applyBorder="1" applyAlignment="1">
      <alignment vertical="center" wrapText="1"/>
    </xf>
    <xf numFmtId="0" fontId="18" fillId="4" borderId="14" xfId="0" applyFont="1" applyFill="1" applyBorder="1" applyAlignment="1">
      <alignment horizontal="center"/>
    </xf>
    <xf numFmtId="0" fontId="17" fillId="16" borderId="14" xfId="0" applyFont="1" applyFill="1" applyBorder="1" applyAlignment="1">
      <alignment horizontal="center"/>
    </xf>
    <xf numFmtId="0" fontId="19" fillId="0" borderId="0" xfId="0" applyFont="1" applyAlignment="1">
      <alignment horizontal="center"/>
    </xf>
    <xf numFmtId="0" fontId="18" fillId="13" borderId="15" xfId="0" applyFont="1" applyFill="1" applyBorder="1" applyAlignment="1">
      <alignment horizontal="center"/>
    </xf>
    <xf numFmtId="0" fontId="20" fillId="0" borderId="0" xfId="0" applyFont="1" applyAlignment="1">
      <alignment horizontal="center"/>
    </xf>
    <xf numFmtId="0" fontId="18" fillId="3" borderId="15" xfId="0" applyFont="1" applyFill="1" applyBorder="1" applyAlignment="1">
      <alignment horizontal="center"/>
    </xf>
    <xf numFmtId="0" fontId="17" fillId="0" borderId="0" xfId="0" applyFont="1" applyAlignment="1"/>
    <xf numFmtId="0" fontId="18" fillId="0" borderId="0" xfId="0" applyFont="1" applyAlignment="1">
      <alignment horizontal="center"/>
    </xf>
    <xf numFmtId="0" fontId="17" fillId="0" borderId="0" xfId="0" applyFont="1"/>
    <xf numFmtId="0" fontId="7" fillId="0" borderId="0" xfId="0" applyFont="1"/>
    <xf numFmtId="0" fontId="17" fillId="0" borderId="0" xfId="0" applyFont="1" applyFill="1" applyAlignment="1">
      <alignment horizontal="center"/>
    </xf>
    <xf numFmtId="0" fontId="17" fillId="16" borderId="16" xfId="0" applyFont="1" applyFill="1" applyBorder="1" applyAlignment="1">
      <alignment horizontal="center"/>
    </xf>
    <xf numFmtId="0" fontId="17" fillId="17" borderId="15" xfId="0" applyFont="1" applyFill="1" applyBorder="1" applyAlignment="1">
      <alignment horizontal="center"/>
    </xf>
    <xf numFmtId="0" fontId="0" fillId="0" borderId="0" xfId="0" applyFill="1" applyAlignment="1">
      <alignment horizontal="right"/>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3"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17" xfId="0" applyFill="1" applyBorder="1" applyAlignment="1">
      <alignment horizontal="center"/>
    </xf>
    <xf numFmtId="0" fontId="0" fillId="0" borderId="18" xfId="0" applyFill="1" applyBorder="1" applyAlignment="1">
      <alignment horizontal="center"/>
    </xf>
    <xf numFmtId="0" fontId="0" fillId="0" borderId="3" xfId="0" applyFill="1" applyBorder="1" applyAlignment="1">
      <alignment horizontal="center"/>
    </xf>
    <xf numFmtId="0" fontId="0" fillId="0" borderId="19" xfId="0" applyFill="1" applyBorder="1" applyAlignment="1">
      <alignment horizontal="center"/>
    </xf>
    <xf numFmtId="0" fontId="0" fillId="0" borderId="21" xfId="0" applyFill="1" applyBorder="1" applyAlignment="1">
      <alignment horizontal="center"/>
    </xf>
    <xf numFmtId="0" fontId="0" fillId="0" borderId="0" xfId="0" applyFill="1" applyAlignment="1">
      <alignment horizontal="left"/>
    </xf>
    <xf numFmtId="0" fontId="10" fillId="14" borderId="0" xfId="0" applyFont="1" applyFill="1" applyAlignment="1">
      <alignment horizontal="center"/>
    </xf>
    <xf numFmtId="0" fontId="10"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17" fillId="0" borderId="0" xfId="0" applyFont="1" applyFill="1" applyAlignment="1">
      <alignment vertical="center"/>
    </xf>
    <xf numFmtId="0" fontId="20" fillId="0" borderId="0" xfId="0" applyFont="1" applyFill="1" applyAlignment="1">
      <alignment horizontal="center"/>
    </xf>
    <xf numFmtId="0" fontId="18" fillId="0" borderId="0" xfId="0" applyFont="1" applyFill="1" applyBorder="1" applyAlignment="1">
      <alignment vertical="center"/>
    </xf>
    <xf numFmtId="0" fontId="18" fillId="0" borderId="0" xfId="0" applyFont="1" applyBorder="1" applyAlignment="1">
      <alignment wrapText="1"/>
    </xf>
    <xf numFmtId="0" fontId="17" fillId="0" borderId="0" xfId="0" applyFont="1" applyFill="1" applyAlignment="1">
      <alignment horizontal="center" vertical="center"/>
    </xf>
    <xf numFmtId="0" fontId="17" fillId="0" borderId="0" xfId="0" applyFont="1" applyFill="1" applyBorder="1" applyAlignment="1">
      <alignment horizontal="center"/>
    </xf>
    <xf numFmtId="0" fontId="17" fillId="14" borderId="0" xfId="0" applyFont="1" applyFill="1" applyAlignment="1"/>
    <xf numFmtId="0" fontId="17" fillId="14" borderId="0" xfId="0" applyFont="1" applyFill="1" applyAlignment="1">
      <alignment horizontal="center"/>
    </xf>
    <xf numFmtId="0" fontId="17" fillId="14" borderId="0" xfId="0" applyFont="1" applyFill="1" applyAlignment="1">
      <alignment vertical="center"/>
    </xf>
    <xf numFmtId="0" fontId="17" fillId="14" borderId="0" xfId="0" applyFont="1" applyFill="1" applyBorder="1" applyAlignment="1">
      <alignment horizontal="center"/>
    </xf>
    <xf numFmtId="0" fontId="17" fillId="14" borderId="0" xfId="0" applyFont="1" applyFill="1" applyBorder="1" applyAlignment="1"/>
    <xf numFmtId="0" fontId="17" fillId="0" borderId="0" xfId="0" applyFont="1" applyFill="1" applyBorder="1" applyAlignment="1">
      <alignment horizontal="center" vertical="center"/>
    </xf>
    <xf numFmtId="0" fontId="17" fillId="14" borderId="0" xfId="0" applyFont="1" applyFill="1" applyBorder="1" applyAlignment="1">
      <alignment horizontal="center"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9" fillId="14" borderId="0" xfId="0" applyFont="1" applyFill="1" applyAlignment="1">
      <alignment horizontal="left"/>
    </xf>
    <xf numFmtId="164" fontId="9" fillId="5" borderId="0" xfId="0" applyNumberFormat="1" applyFont="1" applyFill="1" applyAlignment="1">
      <alignment horizontal="center"/>
    </xf>
    <xf numFmtId="0" fontId="18" fillId="0" borderId="0" xfId="0" applyFont="1" applyFill="1" applyBorder="1" applyAlignment="1">
      <alignment horizontal="center"/>
    </xf>
    <xf numFmtId="164" fontId="9"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9"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14" fontId="0" fillId="0" borderId="0" xfId="0" applyNumberFormat="1"/>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Alignment="1">
      <alignment horizontal="center"/>
    </xf>
    <xf numFmtId="0" fontId="9" fillId="0" borderId="0" xfId="0" applyFont="1" applyFill="1" applyAlignment="1">
      <alignment horizontal="center"/>
    </xf>
    <xf numFmtId="0" fontId="0" fillId="0" borderId="0" xfId="0" applyFill="1" applyAlignment="1">
      <alignment horizontal="center"/>
    </xf>
    <xf numFmtId="0" fontId="9" fillId="14" borderId="0" xfId="0" applyFont="1" applyFill="1" applyAlignment="1">
      <alignment horizontal="center"/>
    </xf>
    <xf numFmtId="0" fontId="0" fillId="0" borderId="0" xfId="0" applyFill="1" applyBorder="1" applyAlignment="1">
      <alignment horizontal="center"/>
    </xf>
    <xf numFmtId="0" fontId="9" fillId="0" borderId="0" xfId="0" applyFont="1" applyAlignment="1">
      <alignment horizontal="center"/>
    </xf>
    <xf numFmtId="2" fontId="0" fillId="14" borderId="13" xfId="0" applyNumberFormat="1" applyFill="1" applyBorder="1" applyAlignment="1">
      <alignment horizontal="center"/>
    </xf>
    <xf numFmtId="0" fontId="0" fillId="0" borderId="0" xfId="0" applyFill="1" applyBorder="1" applyAlignment="1">
      <alignment vertical="center"/>
    </xf>
    <xf numFmtId="0" fontId="0" fillId="0" borderId="13" xfId="0" applyFont="1" applyFill="1" applyBorder="1" applyAlignment="1">
      <alignment horizontal="center" vertical="center"/>
    </xf>
    <xf numFmtId="0" fontId="0" fillId="0" borderId="0" xfId="0" applyFont="1" applyFill="1" applyBorder="1" applyAlignment="1">
      <alignment horizontal="center" vertical="center"/>
    </xf>
    <xf numFmtId="10" fontId="9" fillId="14" borderId="0" xfId="0" applyNumberFormat="1" applyFont="1" applyFill="1" applyAlignment="1">
      <alignment horizontal="center"/>
    </xf>
    <xf numFmtId="0" fontId="24" fillId="0" borderId="0" xfId="0" applyFont="1" applyAlignment="1">
      <alignment horizontal="center"/>
    </xf>
    <xf numFmtId="0" fontId="24" fillId="0" borderId="0" xfId="0" applyFont="1"/>
    <xf numFmtId="0" fontId="24" fillId="0" borderId="11" xfId="0" applyFont="1" applyBorder="1"/>
    <xf numFmtId="0" fontId="24" fillId="0" borderId="11" xfId="0" applyFont="1" applyBorder="1" applyAlignment="1">
      <alignment horizontal="center"/>
    </xf>
    <xf numFmtId="0" fontId="24" fillId="19" borderId="3" xfId="0" applyFont="1" applyFill="1" applyBorder="1"/>
    <xf numFmtId="0" fontId="24" fillId="19" borderId="0" xfId="0" applyFont="1" applyFill="1" applyBorder="1" applyAlignment="1">
      <alignment horizontal="center"/>
    </xf>
    <xf numFmtId="0" fontId="24" fillId="19" borderId="13" xfId="0" applyFont="1" applyFill="1" applyBorder="1" applyAlignment="1">
      <alignment horizontal="center"/>
    </xf>
    <xf numFmtId="0" fontId="24" fillId="0" borderId="3" xfId="0" applyFont="1" applyBorder="1"/>
    <xf numFmtId="0" fontId="24" fillId="0" borderId="0" xfId="0" applyFont="1" applyBorder="1" applyAlignment="1">
      <alignment horizontal="center"/>
    </xf>
    <xf numFmtId="0" fontId="24" fillId="0" borderId="13" xfId="0" applyFont="1" applyBorder="1" applyAlignment="1">
      <alignment horizontal="center"/>
    </xf>
    <xf numFmtId="0" fontId="24" fillId="20" borderId="3" xfId="0" applyFont="1" applyFill="1" applyBorder="1"/>
    <xf numFmtId="0" fontId="24" fillId="20" borderId="0" xfId="0" applyFont="1" applyFill="1" applyBorder="1" applyAlignment="1">
      <alignment horizontal="center"/>
    </xf>
    <xf numFmtId="164" fontId="24" fillId="0" borderId="0" xfId="0" applyNumberFormat="1" applyFont="1" applyBorder="1" applyAlignment="1">
      <alignment horizontal="center"/>
    </xf>
    <xf numFmtId="2" fontId="24" fillId="20" borderId="0" xfId="0" applyNumberFormat="1" applyFont="1" applyFill="1" applyBorder="1" applyAlignment="1">
      <alignment horizontal="center"/>
    </xf>
    <xf numFmtId="2" fontId="24" fillId="20" borderId="13" xfId="0" applyNumberFormat="1" applyFont="1" applyFill="1" applyBorder="1" applyAlignment="1">
      <alignment horizontal="center"/>
    </xf>
    <xf numFmtId="2" fontId="24" fillId="0" borderId="0" xfId="0" applyNumberFormat="1" applyFont="1" applyBorder="1" applyAlignment="1">
      <alignment horizontal="center"/>
    </xf>
    <xf numFmtId="2" fontId="24" fillId="0" borderId="13" xfId="0" applyNumberFormat="1" applyFont="1" applyBorder="1" applyAlignment="1">
      <alignment horizontal="center"/>
    </xf>
    <xf numFmtId="0" fontId="24" fillId="0" borderId="21" xfId="0" applyFont="1" applyBorder="1"/>
    <xf numFmtId="0" fontId="24" fillId="0" borderId="20" xfId="0" applyFont="1" applyBorder="1" applyAlignment="1">
      <alignment horizontal="center"/>
    </xf>
    <xf numFmtId="0" fontId="24" fillId="0" borderId="19" xfId="0" applyFont="1" applyBorder="1" applyAlignment="1">
      <alignment horizontal="center"/>
    </xf>
    <xf numFmtId="0" fontId="24" fillId="0" borderId="3" xfId="0" applyFont="1" applyFill="1" applyBorder="1"/>
    <xf numFmtId="0" fontId="24" fillId="20" borderId="21" xfId="0" applyFont="1" applyFill="1" applyBorder="1"/>
    <xf numFmtId="0" fontId="24" fillId="20" borderId="20" xfId="0" applyFont="1" applyFill="1" applyBorder="1" applyAlignment="1">
      <alignment horizontal="center"/>
    </xf>
    <xf numFmtId="0" fontId="24" fillId="20" borderId="19" xfId="0" applyFont="1" applyFill="1" applyBorder="1" applyAlignment="1">
      <alignment horizontal="center"/>
    </xf>
    <xf numFmtId="164" fontId="24" fillId="20" borderId="0" xfId="0" applyNumberFormat="1" applyFont="1" applyFill="1" applyBorder="1" applyAlignment="1">
      <alignment horizontal="center"/>
    </xf>
    <xf numFmtId="164" fontId="24" fillId="20" borderId="13" xfId="0" applyNumberFormat="1" applyFont="1" applyFill="1" applyBorder="1" applyAlignment="1">
      <alignment horizontal="center"/>
    </xf>
    <xf numFmtId="0" fontId="24" fillId="0" borderId="21" xfId="0" applyFont="1" applyFill="1" applyBorder="1"/>
    <xf numFmtId="164" fontId="24" fillId="0" borderId="20" xfId="0" applyNumberFormat="1" applyFont="1" applyBorder="1" applyAlignment="1">
      <alignment horizontal="center"/>
    </xf>
    <xf numFmtId="164" fontId="24" fillId="0" borderId="19" xfId="0" applyNumberFormat="1" applyFont="1" applyBorder="1" applyAlignment="1">
      <alignment horizontal="center"/>
    </xf>
    <xf numFmtId="0" fontId="24" fillId="19" borderId="20" xfId="0" applyFont="1" applyFill="1" applyBorder="1" applyAlignment="1">
      <alignment horizontal="center"/>
    </xf>
    <xf numFmtId="164" fontId="24" fillId="20" borderId="1" xfId="0" applyNumberFormat="1" applyFont="1" applyFill="1" applyBorder="1" applyAlignment="1"/>
    <xf numFmtId="0" fontId="24" fillId="20" borderId="0" xfId="0" applyFont="1" applyFill="1" applyAlignment="1">
      <alignment horizontal="center"/>
    </xf>
    <xf numFmtId="0" fontId="24" fillId="20" borderId="1" xfId="0" applyFont="1" applyFill="1" applyBorder="1" applyAlignment="1"/>
    <xf numFmtId="2" fontId="24" fillId="0" borderId="0" xfId="0" applyNumberFormat="1" applyFont="1" applyFill="1" applyBorder="1" applyAlignment="1"/>
    <xf numFmtId="0" fontId="24" fillId="0" borderId="0" xfId="0" applyFont="1" applyAlignment="1">
      <alignment horizontal="left"/>
    </xf>
    <xf numFmtId="164" fontId="24" fillId="20" borderId="0" xfId="0" applyNumberFormat="1" applyFont="1" applyFill="1" applyBorder="1" applyAlignment="1"/>
    <xf numFmtId="164" fontId="24" fillId="20" borderId="0" xfId="0" applyNumberFormat="1" applyFont="1" applyFill="1" applyAlignment="1">
      <alignment horizontal="center"/>
    </xf>
    <xf numFmtId="0" fontId="24" fillId="20" borderId="0" xfId="0" applyFont="1" applyFill="1" applyAlignment="1"/>
    <xf numFmtId="165" fontId="24" fillId="0" borderId="0" xfId="0" applyNumberFormat="1" applyFont="1" applyFill="1" applyBorder="1" applyAlignment="1"/>
    <xf numFmtId="0" fontId="24" fillId="0" borderId="0" xfId="0" applyFont="1" applyAlignment="1"/>
    <xf numFmtId="0" fontId="24" fillId="0" borderId="0" xfId="0" applyFont="1" applyBorder="1"/>
    <xf numFmtId="164" fontId="24" fillId="0" borderId="13" xfId="0" applyNumberFormat="1" applyFont="1" applyBorder="1" applyAlignment="1">
      <alignment horizontal="center"/>
    </xf>
    <xf numFmtId="164" fontId="24" fillId="0" borderId="0" xfId="0" applyNumberFormat="1" applyFont="1" applyBorder="1" applyAlignment="1">
      <alignment horizontal="center"/>
    </xf>
    <xf numFmtId="0" fontId="24" fillId="20" borderId="0" xfId="0" applyFont="1" applyFill="1" applyBorder="1" applyAlignment="1">
      <alignment horizontal="center"/>
    </xf>
    <xf numFmtId="0" fontId="24" fillId="2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9" fillId="0" borderId="0" xfId="0" applyFont="1" applyFill="1" applyAlignment="1">
      <alignment horizontal="center"/>
    </xf>
    <xf numFmtId="0" fontId="0" fillId="0" borderId="0" xfId="0" applyFill="1" applyAlignment="1">
      <alignment horizontal="center"/>
    </xf>
    <xf numFmtId="0" fontId="0" fillId="0" borderId="0" xfId="0" applyFont="1" applyFill="1" applyBorder="1" applyAlignment="1">
      <alignment horizontal="center"/>
    </xf>
    <xf numFmtId="0" fontId="0" fillId="0" borderId="0" xfId="0" applyFill="1" applyBorder="1" applyAlignment="1">
      <alignment horizontal="center"/>
    </xf>
    <xf numFmtId="2" fontId="0" fillId="0" borderId="0" xfId="0" applyNumberFormat="1" applyFont="1" applyFill="1" applyBorder="1" applyAlignment="1">
      <alignment horizontal="center"/>
    </xf>
    <xf numFmtId="0" fontId="17" fillId="14" borderId="22" xfId="0" applyFont="1" applyFill="1" applyBorder="1" applyAlignment="1"/>
    <xf numFmtId="0" fontId="17" fillId="14" borderId="23" xfId="0" applyFont="1" applyFill="1" applyBorder="1" applyAlignment="1"/>
    <xf numFmtId="0" fontId="17" fillId="14" borderId="16" xfId="0" applyFont="1" applyFill="1" applyBorder="1" applyAlignment="1"/>
    <xf numFmtId="0" fontId="9" fillId="3" borderId="0" xfId="0" applyFont="1" applyFill="1" applyAlignment="1" applyProtection="1">
      <alignment horizontal="left"/>
    </xf>
    <xf numFmtId="0" fontId="9" fillId="4" borderId="0" xfId="0" applyFont="1" applyFill="1" applyAlignment="1">
      <alignment horizontal="left" vertical="center" wrapText="1"/>
    </xf>
    <xf numFmtId="0" fontId="9" fillId="14" borderId="0" xfId="0" applyFont="1" applyFill="1" applyAlignment="1">
      <alignment horizontal="left" vertical="top" wrapText="1"/>
    </xf>
    <xf numFmtId="0" fontId="9" fillId="2" borderId="0" xfId="0" applyFont="1" applyFill="1" applyAlignment="1">
      <alignment horizontal="center"/>
    </xf>
    <xf numFmtId="0" fontId="17" fillId="0" borderId="22" xfId="0" applyFont="1" applyBorder="1" applyAlignment="1">
      <alignment horizontal="center"/>
    </xf>
    <xf numFmtId="0" fontId="17" fillId="0" borderId="16" xfId="0" applyFont="1" applyBorder="1" applyAlignment="1">
      <alignment horizontal="center"/>
    </xf>
    <xf numFmtId="0" fontId="18" fillId="2" borderId="22" xfId="0" applyFont="1" applyFill="1" applyBorder="1" applyAlignment="1">
      <alignment horizontal="center"/>
    </xf>
    <xf numFmtId="0" fontId="18" fillId="2" borderId="23" xfId="0" applyFont="1" applyFill="1" applyBorder="1" applyAlignment="1">
      <alignment horizontal="center"/>
    </xf>
    <xf numFmtId="0" fontId="18" fillId="2" borderId="16" xfId="0" applyFont="1" applyFill="1" applyBorder="1" applyAlignment="1">
      <alignment horizontal="center"/>
    </xf>
    <xf numFmtId="0" fontId="17" fillId="0" borderId="0" xfId="0" applyFont="1" applyAlignment="1">
      <alignment horizontal="center"/>
    </xf>
    <xf numFmtId="0" fontId="18" fillId="0" borderId="5" xfId="0" applyFont="1" applyBorder="1" applyAlignment="1">
      <alignment horizontal="left" vertical="center" wrapText="1"/>
    </xf>
    <xf numFmtId="0" fontId="18" fillId="0" borderId="6" xfId="0" applyFont="1" applyBorder="1" applyAlignment="1">
      <alignment horizontal="left" vertical="center" wrapText="1"/>
    </xf>
    <xf numFmtId="0" fontId="18" fillId="0" borderId="7" xfId="0" applyFont="1" applyBorder="1" applyAlignment="1">
      <alignment horizontal="left" vertical="center" wrapText="1"/>
    </xf>
    <xf numFmtId="0" fontId="18" fillId="0" borderId="8" xfId="0" applyFont="1" applyBorder="1" applyAlignment="1">
      <alignment horizontal="left" vertical="center" wrapText="1"/>
    </xf>
    <xf numFmtId="0" fontId="18" fillId="0" borderId="0" xfId="0" applyFont="1" applyBorder="1" applyAlignment="1">
      <alignment horizontal="left" vertical="center" wrapText="1"/>
    </xf>
    <xf numFmtId="0" fontId="18" fillId="0" borderId="9" xfId="0" applyFont="1" applyBorder="1" applyAlignment="1">
      <alignment horizontal="left" vertical="center" wrapText="1"/>
    </xf>
    <xf numFmtId="0" fontId="18" fillId="0" borderId="10" xfId="0" applyFont="1" applyBorder="1" applyAlignment="1">
      <alignment horizontal="left" vertical="center" wrapText="1"/>
    </xf>
    <xf numFmtId="0" fontId="18" fillId="0" borderId="11" xfId="0" applyFont="1" applyBorder="1" applyAlignment="1">
      <alignment horizontal="left" vertical="center" wrapText="1"/>
    </xf>
    <xf numFmtId="0" fontId="18" fillId="0" borderId="12" xfId="0" applyFont="1" applyBorder="1" applyAlignment="1">
      <alignment horizontal="left" vertical="center" wrapText="1"/>
    </xf>
    <xf numFmtId="0" fontId="21" fillId="2" borderId="22" xfId="0" applyFont="1" applyFill="1" applyBorder="1" applyAlignment="1">
      <alignment horizontal="center"/>
    </xf>
    <xf numFmtId="0" fontId="21" fillId="2" borderId="23" xfId="0" applyFont="1" applyFill="1" applyBorder="1" applyAlignment="1">
      <alignment horizontal="center"/>
    </xf>
    <xf numFmtId="0" fontId="21" fillId="2" borderId="16" xfId="0" applyFont="1" applyFill="1" applyBorder="1" applyAlignment="1">
      <alignment horizontal="center"/>
    </xf>
    <xf numFmtId="37" fontId="11" fillId="3" borderId="0" xfId="1" applyNumberFormat="1" applyFont="1" applyFill="1" applyBorder="1" applyAlignment="1">
      <alignment horizontal="center"/>
    </xf>
    <xf numFmtId="0" fontId="13" fillId="2" borderId="0" xfId="0" applyFont="1" applyFill="1" applyAlignment="1">
      <alignment horizontal="center"/>
    </xf>
    <xf numFmtId="37" fontId="11" fillId="0" borderId="0" xfId="1" applyNumberFormat="1" applyFont="1" applyBorder="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Alignment="1">
      <alignment horizontal="center"/>
    </xf>
    <xf numFmtId="0" fontId="0" fillId="0" borderId="0" xfId="0" applyFont="1" applyAlignment="1">
      <alignment horizontal="center"/>
    </xf>
    <xf numFmtId="0" fontId="12" fillId="0" borderId="0" xfId="0" applyFont="1" applyFill="1" applyAlignment="1">
      <alignment horizontal="center" vertical="center" textRotation="90" wrapText="1"/>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0" fontId="9"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37" fontId="22" fillId="0" borderId="0" xfId="1" applyNumberFormat="1" applyFont="1" applyFill="1" applyBorder="1" applyAlignment="1" applyProtection="1">
      <alignment horizontal="center" wrapText="1"/>
    </xf>
    <xf numFmtId="164" fontId="9" fillId="14" borderId="0" xfId="0" applyNumberFormat="1" applyFont="1" applyFill="1" applyAlignment="1">
      <alignment horizontal="center"/>
    </xf>
    <xf numFmtId="0" fontId="9" fillId="14" borderId="0" xfId="0" applyFont="1" applyFill="1" applyAlignment="1">
      <alignment horizontal="center"/>
    </xf>
    <xf numFmtId="0" fontId="22"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9" fillId="13" borderId="0" xfId="0" applyFont="1" applyFill="1" applyAlignment="1">
      <alignment horizontal="center"/>
    </xf>
    <xf numFmtId="0" fontId="0" fillId="0" borderId="0" xfId="0" applyNumberFormat="1" applyFont="1" applyAlignment="1">
      <alignment horizontal="center"/>
    </xf>
    <xf numFmtId="0" fontId="0" fillId="0" borderId="0" xfId="0" applyAlignment="1">
      <alignment horizontal="center" vertic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13" fillId="0" borderId="0" xfId="0" applyFont="1" applyAlignment="1">
      <alignment horizontal="center"/>
    </xf>
    <xf numFmtId="0" fontId="9" fillId="6" borderId="0" xfId="0" applyFont="1" applyFill="1" applyAlignment="1">
      <alignment horizontal="center"/>
    </xf>
    <xf numFmtId="0" fontId="0" fillId="11" borderId="0" xfId="0" applyFill="1" applyAlignment="1">
      <alignment horizontal="center"/>
    </xf>
    <xf numFmtId="0" fontId="9" fillId="7" borderId="0" xfId="0" applyFont="1" applyFill="1" applyAlignment="1">
      <alignment horizontal="center"/>
    </xf>
    <xf numFmtId="0" fontId="9" fillId="5" borderId="0" xfId="0" applyFont="1" applyFill="1" applyAlignment="1">
      <alignment horizontal="center"/>
    </xf>
    <xf numFmtId="0" fontId="9" fillId="5" borderId="0" xfId="0" applyFont="1" applyFill="1" applyAlignment="1">
      <alignment horizontal="center" vertical="center"/>
    </xf>
    <xf numFmtId="164" fontId="9" fillId="18" borderId="0" xfId="0" applyNumberFormat="1" applyFont="1" applyFill="1" applyAlignment="1">
      <alignment horizontal="center"/>
    </xf>
    <xf numFmtId="0" fontId="9" fillId="15" borderId="0" xfId="0" applyFont="1" applyFill="1" applyAlignment="1">
      <alignment horizontal="center"/>
    </xf>
    <xf numFmtId="164" fontId="9" fillId="15" borderId="0" xfId="0" applyNumberFormat="1" applyFont="1" applyFill="1" applyAlignment="1">
      <alignment horizontal="center" vertical="center"/>
    </xf>
    <xf numFmtId="0" fontId="9" fillId="0" borderId="8" xfId="0" applyNumberFormat="1" applyFont="1" applyBorder="1" applyAlignment="1">
      <alignment horizontal="center" vertical="center"/>
    </xf>
    <xf numFmtId="0" fontId="9" fillId="4" borderId="0" xfId="0" applyFont="1" applyFill="1" applyAlignment="1">
      <alignment horizontal="center"/>
    </xf>
    <xf numFmtId="0" fontId="9" fillId="3" borderId="0" xfId="0" applyFont="1" applyFill="1" applyAlignment="1">
      <alignment horizontal="center"/>
    </xf>
    <xf numFmtId="0" fontId="9" fillId="0" borderId="0" xfId="0" applyFont="1" applyFill="1" applyAlignment="1">
      <alignment horizontal="center" vertical="center"/>
    </xf>
    <xf numFmtId="2" fontId="9" fillId="4" borderId="0" xfId="0" applyNumberFormat="1" applyFont="1" applyFill="1" applyAlignment="1">
      <alignment horizontal="center" vertical="center"/>
    </xf>
    <xf numFmtId="0" fontId="0" fillId="3" borderId="0" xfId="0" applyFill="1" applyAlignment="1">
      <alignment horizontal="center"/>
    </xf>
    <xf numFmtId="0" fontId="9" fillId="0" borderId="0" xfId="0" applyFont="1" applyAlignment="1">
      <alignment horizontal="center"/>
    </xf>
    <xf numFmtId="0" fontId="24" fillId="0" borderId="0" xfId="0" applyFont="1" applyAlignment="1">
      <alignment horizontal="center"/>
    </xf>
    <xf numFmtId="0" fontId="24" fillId="0" borderId="0" xfId="0" applyFont="1" applyAlignment="1">
      <alignment horizontal="left"/>
    </xf>
    <xf numFmtId="0" fontId="24" fillId="19" borderId="20" xfId="0" applyFont="1" applyFill="1" applyBorder="1" applyAlignment="1">
      <alignment horizontal="left"/>
    </xf>
    <xf numFmtId="164" fontId="24" fillId="0" borderId="13" xfId="0" applyNumberFormat="1" applyFont="1" applyBorder="1" applyAlignment="1">
      <alignment horizontal="center"/>
    </xf>
    <xf numFmtId="164" fontId="24" fillId="0" borderId="0" xfId="0" applyNumberFormat="1" applyFont="1" applyBorder="1" applyAlignment="1">
      <alignment horizontal="center"/>
    </xf>
    <xf numFmtId="0" fontId="24" fillId="20" borderId="0" xfId="0" applyFont="1" applyFill="1" applyBorder="1" applyAlignment="1">
      <alignment horizontal="center"/>
    </xf>
    <xf numFmtId="0" fontId="24" fillId="20" borderId="13" xfId="0" applyFont="1" applyFill="1" applyBorder="1" applyAlignment="1">
      <alignment horizontal="center"/>
    </xf>
    <xf numFmtId="0" fontId="24" fillId="20" borderId="1" xfId="0" applyFont="1" applyFill="1" applyBorder="1" applyAlignment="1">
      <alignment horizontal="left"/>
    </xf>
    <xf numFmtId="0" fontId="24" fillId="0" borderId="0" xfId="0" applyFont="1" applyFill="1" applyBorder="1" applyAlignment="1">
      <alignment horizontal="left"/>
    </xf>
    <xf numFmtId="0" fontId="24" fillId="20" borderId="0" xfId="0" applyFont="1" applyFill="1" applyBorder="1" applyAlignment="1">
      <alignment horizontal="left"/>
    </xf>
    <xf numFmtId="14" fontId="24" fillId="0" borderId="11" xfId="0" applyNumberFormat="1" applyFont="1" applyBorder="1" applyAlignment="1">
      <alignment horizontal="center"/>
    </xf>
    <xf numFmtId="0" fontId="25" fillId="0" borderId="24" xfId="0" applyFont="1" applyBorder="1" applyAlignment="1">
      <alignment horizontal="center"/>
    </xf>
    <xf numFmtId="0" fontId="25" fillId="0" borderId="6" xfId="0" applyFont="1" applyBorder="1" applyAlignment="1">
      <alignment horizontal="center"/>
    </xf>
    <xf numFmtId="0" fontId="24" fillId="20" borderId="0" xfId="0" applyFont="1" applyFill="1" applyAlignment="1">
      <alignment horizontal="left"/>
    </xf>
  </cellXfs>
  <cellStyles count="2">
    <cellStyle name="Normal" xfId="0" builtinId="0"/>
    <cellStyle name="Normal_COUNTS" xfId="1"/>
  </cellStyles>
  <dxfs count="32">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s>
  <tableStyles count="0" defaultTableStyle="TableStyleMedium9" defaultPivotStyle="PivotStyleLight16"/>
  <colors>
    <mruColors>
      <color rgb="FFFF505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57283" name="Group 29"/>
        <xdr:cNvGrpSpPr>
          <a:grpSpLocks/>
        </xdr:cNvGrpSpPr>
      </xdr:nvGrpSpPr>
      <xdr:grpSpPr bwMode="auto">
        <a:xfrm>
          <a:off x="4143375" y="1352550"/>
          <a:ext cx="3114675" cy="1857375"/>
          <a:chOff x="739001" y="888609"/>
          <a:chExt cx="2859414" cy="2097673"/>
        </a:xfrm>
      </xdr:grpSpPr>
      <xdr:grpSp>
        <xdr:nvGrpSpPr>
          <xdr:cNvPr id="57284" name="Group 18"/>
          <xdr:cNvGrpSpPr>
            <a:grpSpLocks/>
          </xdr:cNvGrpSpPr>
        </xdr:nvGrpSpPr>
        <xdr:grpSpPr bwMode="auto">
          <a:xfrm>
            <a:off x="1364275" y="2511648"/>
            <a:ext cx="881185" cy="469454"/>
            <a:chOff x="743" y="270"/>
            <a:chExt cx="88" cy="43"/>
          </a:xfrm>
        </xdr:grpSpPr>
        <xdr:sp macro="" textlink="">
          <xdr:nvSpPr>
            <xdr:cNvPr id="5729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9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57285" name="Group 6"/>
          <xdr:cNvGrpSpPr>
            <a:grpSpLocks/>
          </xdr:cNvGrpSpPr>
        </xdr:nvGrpSpPr>
        <xdr:grpSpPr bwMode="auto">
          <a:xfrm flipV="1">
            <a:off x="2060493" y="888609"/>
            <a:ext cx="921238" cy="458537"/>
            <a:chOff x="747" y="258"/>
            <a:chExt cx="92" cy="42"/>
          </a:xfrm>
        </xdr:grpSpPr>
        <xdr:sp macro="" textlink="">
          <xdr:nvSpPr>
            <xdr:cNvPr id="5729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9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5728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8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5728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8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59031"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59032" name="Group 1"/>
        <xdr:cNvGrpSpPr>
          <a:grpSpLocks/>
        </xdr:cNvGrpSpPr>
      </xdr:nvGrpSpPr>
      <xdr:grpSpPr bwMode="auto">
        <a:xfrm>
          <a:off x="2155031" y="5838825"/>
          <a:ext cx="2193132" cy="1866900"/>
          <a:chOff x="680" y="132"/>
          <a:chExt cx="221" cy="171"/>
        </a:xfrm>
      </xdr:grpSpPr>
      <xdr:grpSp>
        <xdr:nvGrpSpPr>
          <xdr:cNvPr id="59033" name="Group 18"/>
          <xdr:cNvGrpSpPr>
            <a:grpSpLocks/>
          </xdr:cNvGrpSpPr>
        </xdr:nvGrpSpPr>
        <xdr:grpSpPr bwMode="auto">
          <a:xfrm>
            <a:off x="743" y="260"/>
            <a:ext cx="84" cy="43"/>
            <a:chOff x="743" y="258"/>
            <a:chExt cx="84" cy="43"/>
          </a:xfrm>
        </xdr:grpSpPr>
        <xdr:sp macro="" textlink="">
          <xdr:nvSpPr>
            <xdr:cNvPr id="59041"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42"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59034" name="Group 6"/>
          <xdr:cNvGrpSpPr>
            <a:grpSpLocks/>
          </xdr:cNvGrpSpPr>
        </xdr:nvGrpSpPr>
        <xdr:grpSpPr bwMode="auto">
          <a:xfrm flipV="1">
            <a:off x="744" y="132"/>
            <a:ext cx="94" cy="44"/>
            <a:chOff x="744" y="258"/>
            <a:chExt cx="94" cy="44"/>
          </a:xfrm>
        </xdr:grpSpPr>
        <xdr:sp macro="" textlink="">
          <xdr:nvSpPr>
            <xdr:cNvPr id="59039"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40"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59035"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36"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59037"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38"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66337"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66338"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66339" name="Group 29"/>
        <xdr:cNvGrpSpPr>
          <a:grpSpLocks/>
        </xdr:cNvGrpSpPr>
      </xdr:nvGrpSpPr>
      <xdr:grpSpPr bwMode="auto">
        <a:xfrm>
          <a:off x="1559902" y="885825"/>
          <a:ext cx="3486883" cy="2105025"/>
          <a:chOff x="739001" y="888609"/>
          <a:chExt cx="2859414" cy="2097673"/>
        </a:xfrm>
      </xdr:grpSpPr>
      <xdr:grpSp>
        <xdr:nvGrpSpPr>
          <xdr:cNvPr id="66454" name="Group 18"/>
          <xdr:cNvGrpSpPr>
            <a:grpSpLocks/>
          </xdr:cNvGrpSpPr>
        </xdr:nvGrpSpPr>
        <xdr:grpSpPr bwMode="auto">
          <a:xfrm>
            <a:off x="1364275" y="2511648"/>
            <a:ext cx="881185" cy="469454"/>
            <a:chOff x="743" y="270"/>
            <a:chExt cx="88" cy="43"/>
          </a:xfrm>
        </xdr:grpSpPr>
        <xdr:sp macro="" textlink="">
          <xdr:nvSpPr>
            <xdr:cNvPr id="6646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6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55" name="Group 6"/>
          <xdr:cNvGrpSpPr>
            <a:grpSpLocks/>
          </xdr:cNvGrpSpPr>
        </xdr:nvGrpSpPr>
        <xdr:grpSpPr bwMode="auto">
          <a:xfrm flipV="1">
            <a:off x="2060493" y="888609"/>
            <a:ext cx="921238" cy="458537"/>
            <a:chOff x="747" y="258"/>
            <a:chExt cx="92" cy="42"/>
          </a:xfrm>
        </xdr:grpSpPr>
        <xdr:sp macro="" textlink="">
          <xdr:nvSpPr>
            <xdr:cNvPr id="6646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6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5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5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66340"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66341"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66342"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66343" name="AutoShape 16"/>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66344"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66345" name="Group 29"/>
        <xdr:cNvGrpSpPr>
          <a:grpSpLocks/>
        </xdr:cNvGrpSpPr>
      </xdr:nvGrpSpPr>
      <xdr:grpSpPr bwMode="auto">
        <a:xfrm>
          <a:off x="15100056" y="885825"/>
          <a:ext cx="2871421" cy="2105025"/>
          <a:chOff x="739001" y="888609"/>
          <a:chExt cx="2859414" cy="2097673"/>
        </a:xfrm>
      </xdr:grpSpPr>
      <xdr:grpSp>
        <xdr:nvGrpSpPr>
          <xdr:cNvPr id="66440" name="Group 18"/>
          <xdr:cNvGrpSpPr>
            <a:grpSpLocks/>
          </xdr:cNvGrpSpPr>
        </xdr:nvGrpSpPr>
        <xdr:grpSpPr bwMode="auto">
          <a:xfrm>
            <a:off x="1364275" y="2511648"/>
            <a:ext cx="881185" cy="469454"/>
            <a:chOff x="743" y="270"/>
            <a:chExt cx="88" cy="43"/>
          </a:xfrm>
        </xdr:grpSpPr>
        <xdr:sp macro="" textlink="">
          <xdr:nvSpPr>
            <xdr:cNvPr id="6645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41" name="Group 6"/>
          <xdr:cNvGrpSpPr>
            <a:grpSpLocks/>
          </xdr:cNvGrpSpPr>
        </xdr:nvGrpSpPr>
        <xdr:grpSpPr bwMode="auto">
          <a:xfrm flipV="1">
            <a:off x="2060493" y="888609"/>
            <a:ext cx="921238" cy="458537"/>
            <a:chOff x="747" y="258"/>
            <a:chExt cx="92" cy="42"/>
          </a:xfrm>
        </xdr:grpSpPr>
        <xdr:sp macro="" textlink="">
          <xdr:nvSpPr>
            <xdr:cNvPr id="6645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4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4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4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4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66350" name="Group 29"/>
        <xdr:cNvGrpSpPr>
          <a:grpSpLocks/>
        </xdr:cNvGrpSpPr>
      </xdr:nvGrpSpPr>
      <xdr:grpSpPr bwMode="auto">
        <a:xfrm>
          <a:off x="1540852" y="4295775"/>
          <a:ext cx="3486883" cy="2105025"/>
          <a:chOff x="739001" y="888609"/>
          <a:chExt cx="2859414" cy="2097673"/>
        </a:xfrm>
      </xdr:grpSpPr>
      <xdr:grpSp>
        <xdr:nvGrpSpPr>
          <xdr:cNvPr id="66426" name="Group 18"/>
          <xdr:cNvGrpSpPr>
            <a:grpSpLocks/>
          </xdr:cNvGrpSpPr>
        </xdr:nvGrpSpPr>
        <xdr:grpSpPr bwMode="auto">
          <a:xfrm>
            <a:off x="1364275" y="2511648"/>
            <a:ext cx="881185" cy="469454"/>
            <a:chOff x="743" y="270"/>
            <a:chExt cx="88" cy="43"/>
          </a:xfrm>
        </xdr:grpSpPr>
        <xdr:sp macro="" textlink="">
          <xdr:nvSpPr>
            <xdr:cNvPr id="6643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3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27" name="Group 6"/>
          <xdr:cNvGrpSpPr>
            <a:grpSpLocks/>
          </xdr:cNvGrpSpPr>
        </xdr:nvGrpSpPr>
        <xdr:grpSpPr bwMode="auto">
          <a:xfrm flipV="1">
            <a:off x="2060493" y="888609"/>
            <a:ext cx="921238" cy="458537"/>
            <a:chOff x="747" y="258"/>
            <a:chExt cx="92" cy="42"/>
          </a:xfrm>
        </xdr:grpSpPr>
        <xdr:sp macro="" textlink="">
          <xdr:nvSpPr>
            <xdr:cNvPr id="6643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3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2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2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3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3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66351" name="Group 29"/>
        <xdr:cNvGrpSpPr>
          <a:grpSpLocks/>
        </xdr:cNvGrpSpPr>
      </xdr:nvGrpSpPr>
      <xdr:grpSpPr bwMode="auto">
        <a:xfrm>
          <a:off x="8907340" y="847725"/>
          <a:ext cx="3481754" cy="2105025"/>
          <a:chOff x="739001" y="888609"/>
          <a:chExt cx="2859414" cy="2097673"/>
        </a:xfrm>
      </xdr:grpSpPr>
      <xdr:grpSp>
        <xdr:nvGrpSpPr>
          <xdr:cNvPr id="66412" name="Group 18"/>
          <xdr:cNvGrpSpPr>
            <a:grpSpLocks/>
          </xdr:cNvGrpSpPr>
        </xdr:nvGrpSpPr>
        <xdr:grpSpPr bwMode="auto">
          <a:xfrm>
            <a:off x="1364275" y="2511648"/>
            <a:ext cx="881185" cy="469454"/>
            <a:chOff x="743" y="270"/>
            <a:chExt cx="88" cy="43"/>
          </a:xfrm>
        </xdr:grpSpPr>
        <xdr:sp macro="" textlink="">
          <xdr:nvSpPr>
            <xdr:cNvPr id="6642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2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13" name="Group 6"/>
          <xdr:cNvGrpSpPr>
            <a:grpSpLocks/>
          </xdr:cNvGrpSpPr>
        </xdr:nvGrpSpPr>
        <xdr:grpSpPr bwMode="auto">
          <a:xfrm flipV="1">
            <a:off x="2060493" y="888609"/>
            <a:ext cx="921238" cy="458537"/>
            <a:chOff x="747" y="258"/>
            <a:chExt cx="92" cy="42"/>
          </a:xfrm>
        </xdr:grpSpPr>
        <xdr:sp macro="" textlink="">
          <xdr:nvSpPr>
            <xdr:cNvPr id="6642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2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1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1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1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1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66352" name="Group 29"/>
        <xdr:cNvGrpSpPr>
          <a:grpSpLocks/>
        </xdr:cNvGrpSpPr>
      </xdr:nvGrpSpPr>
      <xdr:grpSpPr bwMode="auto">
        <a:xfrm>
          <a:off x="8888290" y="4295775"/>
          <a:ext cx="3491279" cy="2105025"/>
          <a:chOff x="739001" y="888609"/>
          <a:chExt cx="2859414" cy="2097673"/>
        </a:xfrm>
      </xdr:grpSpPr>
      <xdr:grpSp>
        <xdr:nvGrpSpPr>
          <xdr:cNvPr id="66398" name="Group 18"/>
          <xdr:cNvGrpSpPr>
            <a:grpSpLocks/>
          </xdr:cNvGrpSpPr>
        </xdr:nvGrpSpPr>
        <xdr:grpSpPr bwMode="auto">
          <a:xfrm>
            <a:off x="1364275" y="2511648"/>
            <a:ext cx="881185" cy="469454"/>
            <a:chOff x="743" y="270"/>
            <a:chExt cx="88" cy="43"/>
          </a:xfrm>
        </xdr:grpSpPr>
        <xdr:sp macro="" textlink="">
          <xdr:nvSpPr>
            <xdr:cNvPr id="6641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1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99" name="Group 6"/>
          <xdr:cNvGrpSpPr>
            <a:grpSpLocks/>
          </xdr:cNvGrpSpPr>
        </xdr:nvGrpSpPr>
        <xdr:grpSpPr bwMode="auto">
          <a:xfrm flipV="1">
            <a:off x="2060493" y="888609"/>
            <a:ext cx="921238" cy="458537"/>
            <a:chOff x="747" y="258"/>
            <a:chExt cx="92" cy="42"/>
          </a:xfrm>
        </xdr:grpSpPr>
        <xdr:sp macro="" textlink="">
          <xdr:nvSpPr>
            <xdr:cNvPr id="6640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0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0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0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0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0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66353" name="Group 29"/>
        <xdr:cNvGrpSpPr>
          <a:grpSpLocks/>
        </xdr:cNvGrpSpPr>
      </xdr:nvGrpSpPr>
      <xdr:grpSpPr bwMode="auto">
        <a:xfrm>
          <a:off x="1617052" y="8067675"/>
          <a:ext cx="3486883" cy="2105025"/>
          <a:chOff x="739001" y="888609"/>
          <a:chExt cx="2859414" cy="2097673"/>
        </a:xfrm>
      </xdr:grpSpPr>
      <xdr:grpSp>
        <xdr:nvGrpSpPr>
          <xdr:cNvPr id="66384" name="Group 18"/>
          <xdr:cNvGrpSpPr>
            <a:grpSpLocks/>
          </xdr:cNvGrpSpPr>
        </xdr:nvGrpSpPr>
        <xdr:grpSpPr bwMode="auto">
          <a:xfrm>
            <a:off x="1364275" y="2511648"/>
            <a:ext cx="881185" cy="469454"/>
            <a:chOff x="743" y="270"/>
            <a:chExt cx="88" cy="43"/>
          </a:xfrm>
        </xdr:grpSpPr>
        <xdr:sp macro="" textlink="">
          <xdr:nvSpPr>
            <xdr:cNvPr id="6639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9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85" name="Group 6"/>
          <xdr:cNvGrpSpPr>
            <a:grpSpLocks/>
          </xdr:cNvGrpSpPr>
        </xdr:nvGrpSpPr>
        <xdr:grpSpPr bwMode="auto">
          <a:xfrm flipV="1">
            <a:off x="2060493" y="888609"/>
            <a:ext cx="921238" cy="458537"/>
            <a:chOff x="747" y="258"/>
            <a:chExt cx="92" cy="42"/>
          </a:xfrm>
        </xdr:grpSpPr>
        <xdr:sp macro="" textlink="">
          <xdr:nvSpPr>
            <xdr:cNvPr id="6639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9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38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38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66354" name="Group 29"/>
        <xdr:cNvGrpSpPr>
          <a:grpSpLocks/>
        </xdr:cNvGrpSpPr>
      </xdr:nvGrpSpPr>
      <xdr:grpSpPr bwMode="auto">
        <a:xfrm>
          <a:off x="9577754" y="8086725"/>
          <a:ext cx="3491279" cy="2105025"/>
          <a:chOff x="739001" y="888609"/>
          <a:chExt cx="2859414" cy="2097673"/>
        </a:xfrm>
      </xdr:grpSpPr>
      <xdr:grpSp>
        <xdr:nvGrpSpPr>
          <xdr:cNvPr id="66370" name="Group 18"/>
          <xdr:cNvGrpSpPr>
            <a:grpSpLocks/>
          </xdr:cNvGrpSpPr>
        </xdr:nvGrpSpPr>
        <xdr:grpSpPr bwMode="auto">
          <a:xfrm>
            <a:off x="1364275" y="2511648"/>
            <a:ext cx="881185" cy="469454"/>
            <a:chOff x="743" y="270"/>
            <a:chExt cx="88" cy="43"/>
          </a:xfrm>
        </xdr:grpSpPr>
        <xdr:sp macro="" textlink="">
          <xdr:nvSpPr>
            <xdr:cNvPr id="6638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71" name="Group 6"/>
          <xdr:cNvGrpSpPr>
            <a:grpSpLocks/>
          </xdr:cNvGrpSpPr>
        </xdr:nvGrpSpPr>
        <xdr:grpSpPr bwMode="auto">
          <a:xfrm flipV="1">
            <a:off x="2060493" y="888609"/>
            <a:ext cx="921238" cy="458537"/>
            <a:chOff x="747" y="258"/>
            <a:chExt cx="92" cy="42"/>
          </a:xfrm>
        </xdr:grpSpPr>
        <xdr:sp macro="" textlink="">
          <xdr:nvSpPr>
            <xdr:cNvPr id="6638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37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7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37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7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66355" name="Group 29"/>
        <xdr:cNvGrpSpPr>
          <a:grpSpLocks/>
        </xdr:cNvGrpSpPr>
      </xdr:nvGrpSpPr>
      <xdr:grpSpPr bwMode="auto">
        <a:xfrm>
          <a:off x="5298098" y="11715750"/>
          <a:ext cx="3491279" cy="2105025"/>
          <a:chOff x="739001" y="888609"/>
          <a:chExt cx="2859414" cy="2097673"/>
        </a:xfrm>
      </xdr:grpSpPr>
      <xdr:grpSp>
        <xdr:nvGrpSpPr>
          <xdr:cNvPr id="66356" name="Group 18"/>
          <xdr:cNvGrpSpPr>
            <a:grpSpLocks/>
          </xdr:cNvGrpSpPr>
        </xdr:nvGrpSpPr>
        <xdr:grpSpPr bwMode="auto">
          <a:xfrm>
            <a:off x="1364275" y="2511648"/>
            <a:ext cx="881185" cy="469454"/>
            <a:chOff x="743" y="270"/>
            <a:chExt cx="88" cy="43"/>
          </a:xfrm>
        </xdr:grpSpPr>
        <xdr:sp macro="" textlink="">
          <xdr:nvSpPr>
            <xdr:cNvPr id="6636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6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57" name="Group 6"/>
          <xdr:cNvGrpSpPr>
            <a:grpSpLocks/>
          </xdr:cNvGrpSpPr>
        </xdr:nvGrpSpPr>
        <xdr:grpSpPr bwMode="auto">
          <a:xfrm flipV="1">
            <a:off x="2060493" y="888609"/>
            <a:ext cx="921238" cy="458537"/>
            <a:chOff x="747" y="258"/>
            <a:chExt cx="92" cy="42"/>
          </a:xfrm>
        </xdr:grpSpPr>
        <xdr:sp macro="" textlink="">
          <xdr:nvSpPr>
            <xdr:cNvPr id="6636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6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35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5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36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6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66675</xdr:colOff>
      <xdr:row>3</xdr:row>
      <xdr:rowOff>161924</xdr:rowOff>
    </xdr:from>
    <xdr:to>
      <xdr:col>1</xdr:col>
      <xdr:colOff>533398</xdr:colOff>
      <xdr:row>3</xdr:row>
      <xdr:rowOff>404173</xdr:rowOff>
    </xdr:to>
    <xdr:sp macro="" textlink="">
      <xdr:nvSpPr>
        <xdr:cNvPr id="2" name="AutoShape 11"/>
        <xdr:cNvSpPr>
          <a:spLocks noChangeArrowheads="1"/>
        </xdr:cNvSpPr>
      </xdr:nvSpPr>
      <xdr:spPr bwMode="auto">
        <a:xfrm rot="5400000" flipH="1">
          <a:off x="1236187" y="430687"/>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xdr:spPr>
    </xdr:sp>
    <xdr:clientData/>
  </xdr:twoCellAnchor>
  <xdr:twoCellAnchor>
    <xdr:from>
      <xdr:col>2</xdr:col>
      <xdr:colOff>66674</xdr:colOff>
      <xdr:row>3</xdr:row>
      <xdr:rowOff>219081</xdr:rowOff>
    </xdr:from>
    <xdr:to>
      <xdr:col>2</xdr:col>
      <xdr:colOff>514349</xdr:colOff>
      <xdr:row>3</xdr:row>
      <xdr:rowOff>419105</xdr:rowOff>
    </xdr:to>
    <xdr:sp macro="" textlink="">
      <xdr:nvSpPr>
        <xdr:cNvPr id="3" name="AutoShape 12"/>
        <xdr:cNvSpPr>
          <a:spLocks noChangeArrowheads="1"/>
        </xdr:cNvSpPr>
      </xdr:nvSpPr>
      <xdr:spPr bwMode="auto">
        <a:xfrm rot="5400000">
          <a:off x="1857375" y="476255"/>
          <a:ext cx="200024" cy="447675"/>
        </a:xfrm>
        <a:prstGeom prst="upArrow">
          <a:avLst>
            <a:gd name="adj1" fmla="val 50000"/>
            <a:gd name="adj2" fmla="val 55267"/>
          </a:avLst>
        </a:prstGeom>
        <a:solidFill>
          <a:schemeClr val="tx1"/>
        </a:solidFill>
        <a:ln w="9525">
          <a:solidFill>
            <a:srgbClr val="000000"/>
          </a:solidFill>
          <a:miter lim="800000"/>
          <a:headEnd/>
          <a:tailEnd/>
        </a:ln>
      </xdr:spPr>
    </xdr:sp>
    <xdr:clientData/>
  </xdr:twoCellAnchor>
  <xdr:twoCellAnchor>
    <xdr:from>
      <xdr:col>3</xdr:col>
      <xdr:colOff>47624</xdr:colOff>
      <xdr:row>3</xdr:row>
      <xdr:rowOff>200024</xdr:rowOff>
    </xdr:from>
    <xdr:to>
      <xdr:col>3</xdr:col>
      <xdr:colOff>571497</xdr:colOff>
      <xdr:row>3</xdr:row>
      <xdr:rowOff>419100</xdr:rowOff>
    </xdr:to>
    <xdr:sp macro="" textlink="">
      <xdr:nvSpPr>
        <xdr:cNvPr id="5" name="AutoShape 11"/>
        <xdr:cNvSpPr>
          <a:spLocks noChangeArrowheads="1"/>
        </xdr:cNvSpPr>
      </xdr:nvSpPr>
      <xdr:spPr bwMode="auto">
        <a:xfrm rot="5400000" flipH="1">
          <a:off x="2476498" y="428625"/>
          <a:ext cx="219076" cy="5238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4</xdr:col>
      <xdr:colOff>38100</xdr:colOff>
      <xdr:row>3</xdr:row>
      <xdr:rowOff>133350</xdr:rowOff>
    </xdr:from>
    <xdr:to>
      <xdr:col>4</xdr:col>
      <xdr:colOff>504823</xdr:colOff>
      <xdr:row>3</xdr:row>
      <xdr:rowOff>375599</xdr:rowOff>
    </xdr:to>
    <xdr:sp macro="" textlink="">
      <xdr:nvSpPr>
        <xdr:cNvPr id="6" name="AutoShape 11"/>
        <xdr:cNvSpPr>
          <a:spLocks noChangeArrowheads="1"/>
        </xdr:cNvSpPr>
      </xdr:nvSpPr>
      <xdr:spPr bwMode="auto">
        <a:xfrm rot="5400000" flipH="1">
          <a:off x="3036412" y="402113"/>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76200</xdr:colOff>
      <xdr:row>3</xdr:row>
      <xdr:rowOff>190503</xdr:rowOff>
    </xdr:from>
    <xdr:to>
      <xdr:col>5</xdr:col>
      <xdr:colOff>523875</xdr:colOff>
      <xdr:row>3</xdr:row>
      <xdr:rowOff>390527</xdr:rowOff>
    </xdr:to>
    <xdr:sp macro="" textlink="">
      <xdr:nvSpPr>
        <xdr:cNvPr id="7" name="AutoShape 12"/>
        <xdr:cNvSpPr>
          <a:spLocks noChangeArrowheads="1"/>
        </xdr:cNvSpPr>
      </xdr:nvSpPr>
      <xdr:spPr bwMode="auto">
        <a:xfrm rot="5400000">
          <a:off x="3695701" y="447677"/>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600075</xdr:colOff>
      <xdr:row>3</xdr:row>
      <xdr:rowOff>104775</xdr:rowOff>
    </xdr:from>
    <xdr:to>
      <xdr:col>6</xdr:col>
      <xdr:colOff>514348</xdr:colOff>
      <xdr:row>3</xdr:row>
      <xdr:rowOff>323851</xdr:rowOff>
    </xdr:to>
    <xdr:sp macro="" textlink="">
      <xdr:nvSpPr>
        <xdr:cNvPr id="8" name="AutoShape 11"/>
        <xdr:cNvSpPr>
          <a:spLocks noChangeArrowheads="1"/>
        </xdr:cNvSpPr>
      </xdr:nvSpPr>
      <xdr:spPr bwMode="auto">
        <a:xfrm rot="5400000" flipH="1">
          <a:off x="4248149" y="333376"/>
          <a:ext cx="219076" cy="5238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0800000"/>
          </a:camera>
          <a:lightRig rig="threePt" dir="t"/>
        </a:scene3d>
      </xdr:spPr>
      <xdr:txBody>
        <a:bodyPr/>
        <a:lstStyle/>
        <a:p>
          <a:endParaRPr lang="en-US"/>
        </a:p>
      </xdr:txBody>
    </xdr:sp>
    <xdr:clientData/>
  </xdr:twoCellAnchor>
  <xdr:twoCellAnchor>
    <xdr:from>
      <xdr:col>7</xdr:col>
      <xdr:colOff>38100</xdr:colOff>
      <xdr:row>3</xdr:row>
      <xdr:rowOff>161925</xdr:rowOff>
    </xdr:from>
    <xdr:to>
      <xdr:col>7</xdr:col>
      <xdr:colOff>504823</xdr:colOff>
      <xdr:row>3</xdr:row>
      <xdr:rowOff>404174</xdr:rowOff>
    </xdr:to>
    <xdr:sp macro="" textlink="">
      <xdr:nvSpPr>
        <xdr:cNvPr id="9" name="AutoShape 11"/>
        <xdr:cNvSpPr>
          <a:spLocks noChangeArrowheads="1"/>
        </xdr:cNvSpPr>
      </xdr:nvSpPr>
      <xdr:spPr bwMode="auto">
        <a:xfrm rot="5400000" flipH="1">
          <a:off x="4865212" y="43068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8</xdr:col>
      <xdr:colOff>66675</xdr:colOff>
      <xdr:row>3</xdr:row>
      <xdr:rowOff>180977</xdr:rowOff>
    </xdr:from>
    <xdr:to>
      <xdr:col>8</xdr:col>
      <xdr:colOff>514350</xdr:colOff>
      <xdr:row>3</xdr:row>
      <xdr:rowOff>381001</xdr:rowOff>
    </xdr:to>
    <xdr:sp macro="" textlink="">
      <xdr:nvSpPr>
        <xdr:cNvPr id="10" name="AutoShape 12"/>
        <xdr:cNvSpPr>
          <a:spLocks noChangeArrowheads="1"/>
        </xdr:cNvSpPr>
      </xdr:nvSpPr>
      <xdr:spPr bwMode="auto">
        <a:xfrm rot="5400000">
          <a:off x="5514976" y="43815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9</xdr:col>
      <xdr:colOff>38099</xdr:colOff>
      <xdr:row>3</xdr:row>
      <xdr:rowOff>171450</xdr:rowOff>
    </xdr:from>
    <xdr:to>
      <xdr:col>9</xdr:col>
      <xdr:colOff>523873</xdr:colOff>
      <xdr:row>3</xdr:row>
      <xdr:rowOff>381000</xdr:rowOff>
    </xdr:to>
    <xdr:sp macro="" textlink="">
      <xdr:nvSpPr>
        <xdr:cNvPr id="11" name="AutoShape 11"/>
        <xdr:cNvSpPr>
          <a:spLocks noChangeArrowheads="1"/>
        </xdr:cNvSpPr>
      </xdr:nvSpPr>
      <xdr:spPr bwMode="auto">
        <a:xfrm rot="5400000" flipH="1">
          <a:off x="6110286" y="414338"/>
          <a:ext cx="209550" cy="48577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5400000"/>
          </a:camera>
          <a:lightRig rig="threePt" dir="t"/>
        </a:scene3d>
      </xdr:spPr>
      <xdr:txBody>
        <a:bodyPr/>
        <a:lstStyle/>
        <a:p>
          <a:endParaRPr lang="en-US"/>
        </a:p>
      </xdr:txBody>
    </xdr:sp>
    <xdr:clientData/>
  </xdr:twoCellAnchor>
  <xdr:twoCellAnchor>
    <xdr:from>
      <xdr:col>10</xdr:col>
      <xdr:colOff>38100</xdr:colOff>
      <xdr:row>3</xdr:row>
      <xdr:rowOff>161925</xdr:rowOff>
    </xdr:from>
    <xdr:to>
      <xdr:col>10</xdr:col>
      <xdr:colOff>504823</xdr:colOff>
      <xdr:row>3</xdr:row>
      <xdr:rowOff>404174</xdr:rowOff>
    </xdr:to>
    <xdr:sp macro="" textlink="">
      <xdr:nvSpPr>
        <xdr:cNvPr id="12" name="AutoShape 11"/>
        <xdr:cNvSpPr>
          <a:spLocks noChangeArrowheads="1"/>
        </xdr:cNvSpPr>
      </xdr:nvSpPr>
      <xdr:spPr bwMode="auto">
        <a:xfrm rot="5400000" flipH="1">
          <a:off x="4865212" y="43068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11</xdr:col>
      <xdr:colOff>66675</xdr:colOff>
      <xdr:row>3</xdr:row>
      <xdr:rowOff>180977</xdr:rowOff>
    </xdr:from>
    <xdr:to>
      <xdr:col>11</xdr:col>
      <xdr:colOff>514350</xdr:colOff>
      <xdr:row>3</xdr:row>
      <xdr:rowOff>381001</xdr:rowOff>
    </xdr:to>
    <xdr:sp macro="" textlink="">
      <xdr:nvSpPr>
        <xdr:cNvPr id="13" name="AutoShape 12"/>
        <xdr:cNvSpPr>
          <a:spLocks noChangeArrowheads="1"/>
        </xdr:cNvSpPr>
      </xdr:nvSpPr>
      <xdr:spPr bwMode="auto">
        <a:xfrm rot="5400000">
          <a:off x="5514976" y="43815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12</xdr:col>
      <xdr:colOff>38100</xdr:colOff>
      <xdr:row>3</xdr:row>
      <xdr:rowOff>180974</xdr:rowOff>
    </xdr:from>
    <xdr:to>
      <xdr:col>12</xdr:col>
      <xdr:colOff>533399</xdr:colOff>
      <xdr:row>3</xdr:row>
      <xdr:rowOff>438149</xdr:rowOff>
    </xdr:to>
    <xdr:sp macro="" textlink="">
      <xdr:nvSpPr>
        <xdr:cNvPr id="14" name="AutoShape 11"/>
        <xdr:cNvSpPr>
          <a:spLocks noChangeArrowheads="1"/>
        </xdr:cNvSpPr>
      </xdr:nvSpPr>
      <xdr:spPr bwMode="auto">
        <a:xfrm rot="5400000" flipH="1">
          <a:off x="7920037" y="442912"/>
          <a:ext cx="257175" cy="4952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6200000"/>
          </a:camera>
          <a:lightRig rig="threePt" dir="t"/>
        </a:scene3d>
      </xdr:spPr>
      <xdr:txBody>
        <a:bodyPr/>
        <a:lstStyle/>
        <a:p>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sheetPr codeName="Sheet1"/>
  <dimension ref="A1:AH66"/>
  <sheetViews>
    <sheetView topLeftCell="A28" zoomScale="80" zoomScaleNormal="80" workbookViewId="0">
      <selection activeCell="C64" sqref="C64"/>
    </sheetView>
  </sheetViews>
  <sheetFormatPr defaultRowHeight="15"/>
  <cols>
    <col min="1" max="1" width="14.140625" bestFit="1" customWidth="1"/>
    <col min="5" max="5" width="10" bestFit="1" customWidth="1"/>
  </cols>
  <sheetData>
    <row r="1" spans="1:34">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c r="A2" t="s">
        <v>34</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c r="A3" t="s">
        <v>35</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c r="A4" s="59" t="s">
        <v>75</v>
      </c>
      <c r="B4" s="59">
        <v>7381</v>
      </c>
      <c r="C4" s="59">
        <v>0</v>
      </c>
      <c r="D4" s="59">
        <f>'Input sheet'!I21</f>
        <v>15</v>
      </c>
      <c r="E4" s="59">
        <f>'Input sheet'!J21</f>
        <v>738</v>
      </c>
      <c r="F4" s="59">
        <f>'Input sheet'!K21</f>
        <v>141</v>
      </c>
      <c r="G4" s="59">
        <v>0</v>
      </c>
      <c r="H4" s="59">
        <v>0</v>
      </c>
      <c r="I4" s="59">
        <f>'Input sheet'!K7</f>
        <v>124</v>
      </c>
      <c r="J4" s="59">
        <f>'Input sheet'!J7</f>
        <v>1422</v>
      </c>
      <c r="K4" s="59">
        <f>'Input sheet'!I7</f>
        <v>23</v>
      </c>
      <c r="L4" s="59">
        <v>0</v>
      </c>
      <c r="M4" s="59">
        <v>0</v>
      </c>
      <c r="N4" s="59">
        <f>'Input sheet'!G12</f>
        <v>28</v>
      </c>
      <c r="O4" s="59">
        <f>'Input sheet'!G14</f>
        <v>0</v>
      </c>
      <c r="P4" s="59">
        <f>'Input sheet'!G16</f>
        <v>97</v>
      </c>
      <c r="Q4" s="59">
        <v>0</v>
      </c>
      <c r="R4" s="59">
        <v>0</v>
      </c>
      <c r="S4" s="59">
        <f>'Input sheet'!M16</f>
        <v>803</v>
      </c>
      <c r="T4" s="59">
        <f>'Input sheet'!M14</f>
        <v>1</v>
      </c>
      <c r="U4" s="59">
        <f>'Input sheet'!M12</f>
        <v>560</v>
      </c>
      <c r="V4" s="59">
        <v>0</v>
      </c>
      <c r="W4" s="59">
        <v>0</v>
      </c>
      <c r="X4" s="59">
        <v>0</v>
      </c>
      <c r="Y4" s="59">
        <v>0</v>
      </c>
      <c r="Z4" s="59">
        <v>0</v>
      </c>
      <c r="AA4" s="59">
        <v>0</v>
      </c>
      <c r="AB4" s="59">
        <v>0</v>
      </c>
      <c r="AC4" s="59">
        <v>0</v>
      </c>
      <c r="AD4" s="59">
        <v>0</v>
      </c>
      <c r="AE4" s="59">
        <v>0</v>
      </c>
      <c r="AF4" s="59">
        <v>0</v>
      </c>
      <c r="AG4" s="59">
        <v>0</v>
      </c>
      <c r="AH4" s="59">
        <v>0</v>
      </c>
    </row>
    <row r="5" spans="1:34">
      <c r="A5" t="s">
        <v>36</v>
      </c>
      <c r="B5">
        <v>7381</v>
      </c>
      <c r="C5">
        <v>0</v>
      </c>
      <c r="D5">
        <f>'Input sheet'!I22</f>
        <v>1</v>
      </c>
      <c r="E5">
        <f>'Input sheet'!J22</f>
        <v>3</v>
      </c>
      <c r="F5">
        <f>'Input sheet'!K22</f>
        <v>1</v>
      </c>
      <c r="G5">
        <v>0</v>
      </c>
      <c r="H5">
        <v>0</v>
      </c>
      <c r="I5">
        <f>'Input sheet'!K6</f>
        <v>1</v>
      </c>
      <c r="J5">
        <f>'Input sheet'!J6</f>
        <v>3</v>
      </c>
      <c r="K5">
        <f>'Input sheet'!I6</f>
        <v>1</v>
      </c>
      <c r="L5">
        <v>0</v>
      </c>
      <c r="M5">
        <v>0</v>
      </c>
      <c r="N5">
        <f>'Input sheet'!F12</f>
        <v>1</v>
      </c>
      <c r="O5">
        <f>'Input sheet'!F14</f>
        <v>2</v>
      </c>
      <c r="P5">
        <f>'Input sheet'!F16</f>
        <v>1</v>
      </c>
      <c r="Q5">
        <v>0</v>
      </c>
      <c r="R5">
        <v>0</v>
      </c>
      <c r="S5">
        <f>'Input sheet'!N16</f>
        <v>1</v>
      </c>
      <c r="T5">
        <f>'Input sheet'!N14</f>
        <v>3</v>
      </c>
      <c r="U5">
        <f>'Input sheet'!N12</f>
        <v>1</v>
      </c>
      <c r="V5">
        <v>0</v>
      </c>
      <c r="W5">
        <v>0</v>
      </c>
      <c r="X5">
        <v>0</v>
      </c>
      <c r="Y5">
        <v>0</v>
      </c>
      <c r="Z5">
        <v>0</v>
      </c>
      <c r="AA5">
        <v>0</v>
      </c>
      <c r="AB5">
        <v>0</v>
      </c>
      <c r="AC5">
        <v>0</v>
      </c>
      <c r="AD5">
        <v>0</v>
      </c>
      <c r="AE5">
        <v>0</v>
      </c>
      <c r="AF5">
        <v>0</v>
      </c>
      <c r="AG5">
        <v>0</v>
      </c>
      <c r="AH5">
        <v>0</v>
      </c>
    </row>
    <row r="6" spans="1:34">
      <c r="A6" t="s">
        <v>37</v>
      </c>
      <c r="B6">
        <v>7381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c r="A7" t="s">
        <v>38</v>
      </c>
      <c r="B7">
        <v>7381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c r="A8" t="s">
        <v>39</v>
      </c>
      <c r="B8">
        <v>7381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c r="A9" t="s">
        <v>40</v>
      </c>
      <c r="B9">
        <v>7381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c r="A10" t="s">
        <v>41</v>
      </c>
      <c r="B10">
        <v>7381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c r="A11" t="s">
        <v>42</v>
      </c>
      <c r="B11">
        <v>7381</v>
      </c>
      <c r="C11">
        <v>0</v>
      </c>
      <c r="D11">
        <v>0</v>
      </c>
      <c r="E11">
        <f>'Input sheet'!J24</f>
        <v>40</v>
      </c>
      <c r="F11">
        <v>0</v>
      </c>
      <c r="G11">
        <v>0</v>
      </c>
      <c r="H11">
        <v>0</v>
      </c>
      <c r="I11">
        <v>0</v>
      </c>
      <c r="J11">
        <f>'Input sheet'!J4</f>
        <v>40</v>
      </c>
      <c r="K11">
        <v>0</v>
      </c>
      <c r="L11">
        <v>0</v>
      </c>
      <c r="M11">
        <v>0</v>
      </c>
      <c r="N11">
        <v>0</v>
      </c>
      <c r="O11">
        <f>'Input sheet'!D13</f>
        <v>25</v>
      </c>
      <c r="P11">
        <v>0</v>
      </c>
      <c r="Q11">
        <v>0</v>
      </c>
      <c r="R11">
        <v>0</v>
      </c>
      <c r="S11">
        <v>0</v>
      </c>
      <c r="T11">
        <f>'Input sheet'!P13</f>
        <v>30</v>
      </c>
      <c r="U11">
        <v>0</v>
      </c>
      <c r="V11">
        <v>0</v>
      </c>
      <c r="W11">
        <v>0</v>
      </c>
      <c r="X11">
        <v>0</v>
      </c>
      <c r="Y11">
        <v>0</v>
      </c>
      <c r="Z11">
        <v>0</v>
      </c>
      <c r="AA11">
        <v>0</v>
      </c>
      <c r="AB11">
        <v>0</v>
      </c>
      <c r="AC11">
        <v>0</v>
      </c>
      <c r="AD11">
        <v>0</v>
      </c>
      <c r="AE11">
        <v>0</v>
      </c>
      <c r="AF11">
        <v>0</v>
      </c>
      <c r="AG11">
        <v>0</v>
      </c>
      <c r="AH11">
        <v>0</v>
      </c>
    </row>
    <row r="12" spans="1:34">
      <c r="A12" t="s">
        <v>43</v>
      </c>
      <c r="B12">
        <v>7381</v>
      </c>
      <c r="D12">
        <v>50</v>
      </c>
      <c r="E12">
        <v>50</v>
      </c>
      <c r="F12">
        <v>50</v>
      </c>
      <c r="I12">
        <v>50</v>
      </c>
      <c r="J12">
        <v>50</v>
      </c>
      <c r="K12">
        <v>50</v>
      </c>
      <c r="N12">
        <v>50</v>
      </c>
      <c r="O12">
        <v>50</v>
      </c>
      <c r="P12">
        <v>50</v>
      </c>
      <c r="S12">
        <v>50</v>
      </c>
      <c r="T12">
        <v>50</v>
      </c>
      <c r="U12">
        <v>50</v>
      </c>
    </row>
    <row r="13" spans="1:34">
      <c r="A13" t="s">
        <v>44</v>
      </c>
      <c r="B13">
        <v>7381</v>
      </c>
      <c r="D13">
        <v>0</v>
      </c>
      <c r="E13">
        <v>0</v>
      </c>
      <c r="F13">
        <v>0</v>
      </c>
      <c r="I13">
        <v>0</v>
      </c>
      <c r="J13">
        <v>0</v>
      </c>
      <c r="K13">
        <v>0</v>
      </c>
      <c r="N13">
        <v>0</v>
      </c>
      <c r="O13">
        <v>0</v>
      </c>
      <c r="P13">
        <v>0</v>
      </c>
      <c r="S13">
        <v>0</v>
      </c>
      <c r="T13">
        <v>0</v>
      </c>
      <c r="U13">
        <v>0</v>
      </c>
    </row>
    <row r="14" spans="1:34" s="1" customFormat="1">
      <c r="A14" s="1" t="s">
        <v>45</v>
      </c>
      <c r="B14">
        <v>7381</v>
      </c>
      <c r="D14" s="1">
        <f>'Phase designation'!F27</f>
        <v>0</v>
      </c>
      <c r="E14" s="1">
        <f>'Phase designation'!G27</f>
        <v>2</v>
      </c>
      <c r="F14" s="1">
        <v>0</v>
      </c>
      <c r="I14" s="1">
        <f>'Phase designation'!H27</f>
        <v>0</v>
      </c>
      <c r="J14" s="1">
        <f>'Phase designation'!I27</f>
        <v>6</v>
      </c>
      <c r="K14" s="1">
        <v>0</v>
      </c>
      <c r="N14" s="1">
        <f>'Phase designation'!B27</f>
        <v>7</v>
      </c>
      <c r="O14" s="1">
        <f>'Phase designation'!C27</f>
        <v>4</v>
      </c>
      <c r="P14" s="1">
        <v>0</v>
      </c>
      <c r="S14" s="1">
        <f>'Phase designation'!D27</f>
        <v>3</v>
      </c>
      <c r="T14" s="1">
        <f>'Phase designation'!E27</f>
        <v>8</v>
      </c>
      <c r="U14" s="1">
        <v>0</v>
      </c>
    </row>
    <row r="15" spans="1:34" s="1" customFormat="1">
      <c r="A15" s="1" t="s">
        <v>46</v>
      </c>
      <c r="B15">
        <v>7381</v>
      </c>
      <c r="D15" s="1">
        <f>'Phase designation'!F28</f>
        <v>2</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c r="A16" s="1" t="s">
        <v>47</v>
      </c>
      <c r="B16">
        <v>7381</v>
      </c>
      <c r="D16" s="1">
        <f>IF(D14&gt;0,D14,D15)</f>
        <v>2</v>
      </c>
      <c r="E16" s="1">
        <f>E14</f>
        <v>2</v>
      </c>
      <c r="F16" s="1">
        <f>E16</f>
        <v>2</v>
      </c>
      <c r="I16" s="1">
        <f>IF(I14&gt;0,I14,I15)</f>
        <v>6</v>
      </c>
      <c r="J16" s="1">
        <f>J14</f>
        <v>6</v>
      </c>
      <c r="K16" s="1">
        <f>J16</f>
        <v>6</v>
      </c>
      <c r="N16" s="1">
        <f>IF(N14&gt;0,N14,N15)</f>
        <v>7</v>
      </c>
      <c r="O16" s="1">
        <f>O14</f>
        <v>4</v>
      </c>
      <c r="P16" s="1">
        <f>O16</f>
        <v>4</v>
      </c>
      <c r="S16" s="1">
        <f>IF(S14&gt;0,S14,S15)</f>
        <v>3</v>
      </c>
      <c r="T16" s="1">
        <f>T14</f>
        <v>8</v>
      </c>
      <c r="U16" s="1">
        <f>T16</f>
        <v>8</v>
      </c>
    </row>
    <row r="17" spans="1:21" s="156" customFormat="1">
      <c r="A17" s="156" t="s">
        <v>151</v>
      </c>
      <c r="B17" s="156">
        <v>1</v>
      </c>
      <c r="D17" s="156">
        <f>'Phase calculation'!I38</f>
        <v>92</v>
      </c>
      <c r="E17" s="156">
        <f>'Phase calculation'!J38</f>
        <v>92</v>
      </c>
      <c r="F17" s="156">
        <f>'Phase calculation'!K38</f>
        <v>92</v>
      </c>
      <c r="I17" s="156">
        <f>'Phase calculation'!L38</f>
        <v>92</v>
      </c>
      <c r="J17" s="156">
        <f>'Phase calculation'!M38</f>
        <v>92</v>
      </c>
      <c r="K17" s="156">
        <f>'Phase calculation'!N38</f>
        <v>92</v>
      </c>
      <c r="N17" s="156">
        <f>'Phase calculation'!C38</f>
        <v>25</v>
      </c>
      <c r="O17" s="156">
        <f>'Phase calculation'!D38</f>
        <v>27</v>
      </c>
      <c r="P17" s="156">
        <f>'Phase calculation'!E38</f>
        <v>27</v>
      </c>
      <c r="S17" s="156">
        <f>'Phase calculation'!F38</f>
        <v>52.599999999999994</v>
      </c>
      <c r="T17" s="156">
        <f>'Phase calculation'!G38</f>
        <v>41</v>
      </c>
      <c r="U17" s="156">
        <f>'Phase calculation'!H38</f>
        <v>41</v>
      </c>
    </row>
    <row r="18" spans="1:21" s="1" customFormat="1">
      <c r="A18" s="1" t="s">
        <v>152</v>
      </c>
      <c r="B18" s="1">
        <v>1</v>
      </c>
      <c r="D18" s="1">
        <f>'Phase calculation'!I44</f>
        <v>54</v>
      </c>
      <c r="E18" s="1">
        <f>'Phase calculation'!J44</f>
        <v>2590</v>
      </c>
      <c r="F18" s="1">
        <f>'Phase calculation'!K44</f>
        <v>864</v>
      </c>
      <c r="I18" s="1">
        <f>'Phase calculation'!L44</f>
        <v>58</v>
      </c>
      <c r="J18" s="1">
        <f>'Phase calculation'!M44</f>
        <v>2590</v>
      </c>
      <c r="K18" s="1">
        <f>'Phase calculation'!N44</f>
        <v>864</v>
      </c>
      <c r="N18" s="1">
        <f>'Phase calculation'!C44</f>
        <v>109</v>
      </c>
      <c r="O18" s="1">
        <f>'Phase calculation'!D44</f>
        <v>507</v>
      </c>
      <c r="P18" s="1">
        <f>'Phase calculation'!E44</f>
        <v>253</v>
      </c>
      <c r="S18" s="1">
        <f>'Phase calculation'!F44</f>
        <v>247</v>
      </c>
      <c r="T18" s="1">
        <f>'Phase calculation'!G44</f>
        <v>1154</v>
      </c>
      <c r="U18" s="1">
        <f>'Phase calculation'!H44</f>
        <v>385</v>
      </c>
    </row>
    <row r="19" spans="1:21" s="248" customFormat="1">
      <c r="A19" s="248" t="s">
        <v>138</v>
      </c>
      <c r="B19" s="248">
        <v>1</v>
      </c>
      <c r="D19" s="248">
        <f>'Phase calculation'!I43</f>
        <v>0.3</v>
      </c>
      <c r="E19" s="248">
        <f>'Phase calculation'!J43</f>
        <v>0.31</v>
      </c>
      <c r="F19" s="248">
        <f>'Phase calculation'!K43</f>
        <v>8.7962962962962965E-2</v>
      </c>
      <c r="I19" s="248">
        <f>'Phase calculation'!L43</f>
        <v>2.33</v>
      </c>
      <c r="J19" s="248">
        <f>'Phase calculation'!M43</f>
        <v>0.6</v>
      </c>
      <c r="K19" s="248">
        <f>'Phase calculation'!N43</f>
        <v>1.3888888888888888E-2</v>
      </c>
      <c r="N19" s="248">
        <f>'Phase calculation'!C43</f>
        <v>0.28000000000000003</v>
      </c>
      <c r="O19" s="248">
        <f>'Phase calculation'!D43</f>
        <v>0</v>
      </c>
      <c r="P19" s="248">
        <f>'Phase calculation'!E43</f>
        <v>0.20553359683794467</v>
      </c>
      <c r="S19" s="248">
        <f>'Phase calculation'!F43</f>
        <v>3.53</v>
      </c>
      <c r="T19" s="248">
        <f>'Phase calculation'!G43</f>
        <v>0</v>
      </c>
      <c r="U19" s="248">
        <f>'Phase calculation'!H43</f>
        <v>0.78961038961038965</v>
      </c>
    </row>
    <row r="20" spans="1:21" s="249" customFormat="1">
      <c r="A20" s="249" t="s">
        <v>153</v>
      </c>
      <c r="B20" s="249">
        <v>1</v>
      </c>
      <c r="D20" s="249">
        <f>'Phase calculation'!I47</f>
        <v>27.43</v>
      </c>
      <c r="E20" s="249">
        <f>'Phase calculation'!J47</f>
        <v>14.16</v>
      </c>
      <c r="F20" s="249">
        <f>'Phase calculation'!K47</f>
        <v>12.049999999999999</v>
      </c>
      <c r="I20" s="249">
        <f>'Phase calculation'!L47</f>
        <v>677.66</v>
      </c>
      <c r="J20" s="249">
        <f>'Phase calculation'!M47</f>
        <v>18.779999999999998</v>
      </c>
      <c r="K20" s="249">
        <f>'Phase calculation'!N47</f>
        <v>11.34</v>
      </c>
      <c r="N20" s="249">
        <f>'Phase calculation'!C47</f>
        <v>60.93</v>
      </c>
      <c r="O20" s="249">
        <f>'Phase calculation'!D47</f>
        <v>0</v>
      </c>
      <c r="P20" s="249">
        <f>'Phase calculation'!E47</f>
        <v>54.199999999999996</v>
      </c>
      <c r="S20" s="249">
        <f>'Phase calculation'!F47</f>
        <v>1197.28</v>
      </c>
      <c r="T20" s="249">
        <f>'Phase calculation'!G47</f>
        <v>0</v>
      </c>
      <c r="U20" s="249">
        <f>'Phase calculation'!H47</f>
        <v>65.63</v>
      </c>
    </row>
    <row r="21" spans="1:21" s="1" customFormat="1">
      <c r="A21" s="1" t="s">
        <v>142</v>
      </c>
      <c r="B21" s="1">
        <v>1</v>
      </c>
      <c r="D21" s="73" t="str">
        <f>'Phase calculation'!I48</f>
        <v>C</v>
      </c>
      <c r="E21" s="244" t="str">
        <f>'Phase calculation'!J48</f>
        <v>B</v>
      </c>
      <c r="F21" s="244" t="str">
        <f>'Phase calculation'!K48</f>
        <v>B</v>
      </c>
      <c r="G21" s="73"/>
      <c r="H21" s="73"/>
      <c r="I21" s="73" t="str">
        <f>'Phase calculation'!L48</f>
        <v>F</v>
      </c>
      <c r="J21" s="244" t="str">
        <f>'Phase calculation'!M48</f>
        <v>B</v>
      </c>
      <c r="K21" s="244" t="str">
        <f>'Phase calculation'!N48</f>
        <v>B</v>
      </c>
      <c r="L21" s="73"/>
      <c r="M21" s="73"/>
      <c r="N21" s="73" t="str">
        <f>'Phase calculation'!C48</f>
        <v>E</v>
      </c>
      <c r="O21" s="244" t="str">
        <f>'Phase calculation'!D48</f>
        <v>N/A</v>
      </c>
      <c r="P21" s="244" t="str">
        <f>'Phase calculation'!E48</f>
        <v>D</v>
      </c>
      <c r="Q21" s="73"/>
      <c r="R21" s="73"/>
      <c r="S21" s="73" t="str">
        <f>'Phase calculation'!F48</f>
        <v>F</v>
      </c>
      <c r="T21" s="244" t="str">
        <f>'Phase calculation'!G48</f>
        <v>N/A</v>
      </c>
      <c r="U21" s="244" t="str">
        <f>'Phase calculation'!H48</f>
        <v>E</v>
      </c>
    </row>
    <row r="22" spans="1:21">
      <c r="A22" t="s">
        <v>48</v>
      </c>
      <c r="B22">
        <v>7381</v>
      </c>
      <c r="D22">
        <f>'Input sheet'!$P$2</f>
        <v>1900</v>
      </c>
      <c r="E22">
        <f>'Input sheet'!$P$2</f>
        <v>1900</v>
      </c>
      <c r="F22">
        <f>'Input sheet'!$P$2</f>
        <v>1900</v>
      </c>
      <c r="I22">
        <f>'Input sheet'!$P$2</f>
        <v>1900</v>
      </c>
      <c r="J22">
        <f>'Input sheet'!$P$2</f>
        <v>1900</v>
      </c>
      <c r="K22">
        <f>'Input sheet'!$P$2</f>
        <v>1900</v>
      </c>
      <c r="N22">
        <f>'Input sheet'!$P$2</f>
        <v>1900</v>
      </c>
      <c r="O22">
        <f>'Input sheet'!$P$2</f>
        <v>1900</v>
      </c>
      <c r="P22">
        <f>'Input sheet'!$P$2</f>
        <v>1900</v>
      </c>
      <c r="S22">
        <f>'Input sheet'!$P$2</f>
        <v>1900</v>
      </c>
      <c r="T22">
        <f>'Input sheet'!$P$2</f>
        <v>1900</v>
      </c>
      <c r="U22">
        <f>'Input sheet'!$P$2</f>
        <v>1900</v>
      </c>
    </row>
    <row r="23" spans="1:21">
      <c r="A23" t="s">
        <v>49</v>
      </c>
      <c r="B23">
        <v>7381</v>
      </c>
      <c r="D23">
        <f>'Input sheet'!$P$5</f>
        <v>4</v>
      </c>
      <c r="E23">
        <f>'Input sheet'!$P$5</f>
        <v>4</v>
      </c>
      <c r="F23">
        <f>'Input sheet'!$P$5</f>
        <v>4</v>
      </c>
      <c r="I23">
        <f>'Input sheet'!$P$5</f>
        <v>4</v>
      </c>
      <c r="J23">
        <f>'Input sheet'!$P$5</f>
        <v>4</v>
      </c>
      <c r="K23">
        <f>'Input sheet'!$P$5</f>
        <v>4</v>
      </c>
      <c r="N23">
        <f>'Input sheet'!$P$5</f>
        <v>4</v>
      </c>
      <c r="O23">
        <f>'Input sheet'!$P$5</f>
        <v>4</v>
      </c>
      <c r="P23">
        <f>'Input sheet'!$P$5</f>
        <v>4</v>
      </c>
      <c r="S23">
        <f>'Input sheet'!$P$5</f>
        <v>4</v>
      </c>
      <c r="T23">
        <f>'Input sheet'!$P$5</f>
        <v>4</v>
      </c>
      <c r="U23">
        <f>'Input sheet'!$P$5</f>
        <v>4</v>
      </c>
    </row>
    <row r="24" spans="1:21">
      <c r="A24" t="s">
        <v>50</v>
      </c>
      <c r="B24">
        <v>7381</v>
      </c>
      <c r="D24">
        <f>'Phase calculation'!I11</f>
        <v>0</v>
      </c>
      <c r="E24">
        <f>'Phase calculation'!J11</f>
        <v>4223</v>
      </c>
      <c r="F24">
        <f>'Phase calculation'!K11</f>
        <v>1408</v>
      </c>
      <c r="I24">
        <f>'Phase calculation'!L11</f>
        <v>0</v>
      </c>
      <c r="J24">
        <f>'Phase calculation'!M11</f>
        <v>4223</v>
      </c>
      <c r="K24">
        <f>'Phase calculation'!N11</f>
        <v>1408</v>
      </c>
      <c r="N24">
        <f>'Phase calculation'!C11</f>
        <v>1408</v>
      </c>
      <c r="O24">
        <f>'Phase calculation'!D11</f>
        <v>2815</v>
      </c>
      <c r="P24">
        <f>'Phase calculation'!E11</f>
        <v>1408</v>
      </c>
      <c r="S24">
        <f>'Phase calculation'!F11</f>
        <v>1408</v>
      </c>
      <c r="T24">
        <f>'Phase calculation'!G11</f>
        <v>4223</v>
      </c>
      <c r="U24">
        <f>'Phase calculation'!H11</f>
        <v>1408</v>
      </c>
    </row>
    <row r="25" spans="1:21">
      <c r="A25" t="s">
        <v>51</v>
      </c>
      <c r="B25">
        <v>7381</v>
      </c>
      <c r="D25">
        <f>'Phase calculation'!I14</f>
        <v>367</v>
      </c>
      <c r="E25">
        <f>'Phase calculation'!J14</f>
        <v>4223</v>
      </c>
      <c r="F25">
        <f>'Phase calculation'!K14</f>
        <v>1408</v>
      </c>
      <c r="I25">
        <f>'Phase calculation'!L14</f>
        <v>629</v>
      </c>
      <c r="J25">
        <f>'Phase calculation'!M14</f>
        <v>4223</v>
      </c>
      <c r="K25">
        <f>'Phase calculation'!N14</f>
        <v>1408</v>
      </c>
      <c r="N25">
        <f>'Phase calculation'!C14</f>
        <v>845</v>
      </c>
      <c r="O25">
        <f>'Phase calculation'!D14</f>
        <v>2815</v>
      </c>
      <c r="P25">
        <f>'Phase calculation'!E14</f>
        <v>1408</v>
      </c>
      <c r="S25">
        <f>'Phase calculation'!F14</f>
        <v>1293</v>
      </c>
      <c r="T25">
        <f>'Phase calculation'!G14</f>
        <v>4223</v>
      </c>
      <c r="U25">
        <f>'Phase calculation'!H14</f>
        <v>1408</v>
      </c>
    </row>
    <row r="26" spans="1:21">
      <c r="A26" t="s">
        <v>52</v>
      </c>
      <c r="B26">
        <v>7381</v>
      </c>
      <c r="D26">
        <v>0</v>
      </c>
      <c r="E26">
        <v>0</v>
      </c>
      <c r="F26">
        <v>0</v>
      </c>
      <c r="I26">
        <v>0</v>
      </c>
      <c r="J26">
        <v>0</v>
      </c>
      <c r="K26">
        <v>0</v>
      </c>
      <c r="N26">
        <v>0</v>
      </c>
      <c r="O26">
        <v>0</v>
      </c>
      <c r="P26">
        <v>0</v>
      </c>
      <c r="S26">
        <v>0</v>
      </c>
      <c r="T26">
        <v>0</v>
      </c>
      <c r="U26">
        <v>0</v>
      </c>
    </row>
    <row r="27" spans="1:21">
      <c r="A27" t="s">
        <v>53</v>
      </c>
      <c r="B27">
        <v>7381</v>
      </c>
      <c r="D27">
        <v>1</v>
      </c>
      <c r="E27">
        <v>1</v>
      </c>
      <c r="F27">
        <v>1</v>
      </c>
      <c r="I27">
        <v>1</v>
      </c>
      <c r="J27">
        <v>1</v>
      </c>
      <c r="K27">
        <v>1</v>
      </c>
      <c r="N27">
        <v>1</v>
      </c>
      <c r="O27">
        <v>1</v>
      </c>
      <c r="P27">
        <v>1</v>
      </c>
      <c r="S27">
        <v>1</v>
      </c>
      <c r="T27">
        <v>1</v>
      </c>
      <c r="U27">
        <v>1</v>
      </c>
    </row>
    <row r="28" spans="1:21">
      <c r="A28" t="s">
        <v>54</v>
      </c>
      <c r="B28">
        <v>7381</v>
      </c>
      <c r="D28">
        <v>0</v>
      </c>
      <c r="E28">
        <v>0</v>
      </c>
      <c r="F28">
        <v>0</v>
      </c>
      <c r="I28">
        <v>0</v>
      </c>
      <c r="J28">
        <v>0</v>
      </c>
      <c r="K28">
        <v>0</v>
      </c>
      <c r="N28">
        <v>0</v>
      </c>
      <c r="O28">
        <v>0</v>
      </c>
      <c r="P28">
        <v>0</v>
      </c>
      <c r="S28">
        <v>0</v>
      </c>
      <c r="T28">
        <v>0</v>
      </c>
      <c r="U28">
        <v>0</v>
      </c>
    </row>
    <row r="29" spans="1:21" s="62" customFormat="1">
      <c r="A29" s="62" t="s">
        <v>55</v>
      </c>
      <c r="B29">
        <v>7381</v>
      </c>
      <c r="E29" s="62">
        <f>IF('Input sheet'!M22="Yes",10,0)</f>
        <v>10</v>
      </c>
      <c r="J29" s="62">
        <f>IF('Input sheet'!L5="Yes",10,0)</f>
        <v>10</v>
      </c>
      <c r="O29" s="62">
        <f>IF('Input sheet'!D16="Yes",10,0)</f>
        <v>10</v>
      </c>
      <c r="T29" s="62">
        <f>IF('Input sheet'!P16="Yes",10,0)</f>
        <v>10</v>
      </c>
    </row>
    <row r="30" spans="1:21">
      <c r="A30" t="s">
        <v>56</v>
      </c>
      <c r="B30">
        <v>7381</v>
      </c>
      <c r="D30">
        <v>0</v>
      </c>
      <c r="E30">
        <v>0</v>
      </c>
      <c r="F30">
        <v>0</v>
      </c>
      <c r="I30">
        <v>0</v>
      </c>
      <c r="J30">
        <v>0</v>
      </c>
      <c r="K30">
        <v>0</v>
      </c>
      <c r="N30">
        <v>0</v>
      </c>
      <c r="O30">
        <v>0</v>
      </c>
      <c r="P30">
        <v>0</v>
      </c>
      <c r="S30">
        <v>0</v>
      </c>
      <c r="T30">
        <v>0</v>
      </c>
      <c r="U30">
        <v>0</v>
      </c>
    </row>
    <row r="31" spans="1:21">
      <c r="A31" t="s">
        <v>57</v>
      </c>
      <c r="B31">
        <v>7381</v>
      </c>
      <c r="D31">
        <f>'Input sheet'!$P$3</f>
        <v>0.92</v>
      </c>
      <c r="E31">
        <f>'Input sheet'!$P$3</f>
        <v>0.92</v>
      </c>
      <c r="F31">
        <f>'Input sheet'!$P$3</f>
        <v>0.92</v>
      </c>
      <c r="I31">
        <f>'Input sheet'!$P$3</f>
        <v>0.92</v>
      </c>
      <c r="J31">
        <f>'Input sheet'!$P$3</f>
        <v>0.92</v>
      </c>
      <c r="K31">
        <f>'Input sheet'!$P$3</f>
        <v>0.92</v>
      </c>
      <c r="N31">
        <f>'Input sheet'!$P$3</f>
        <v>0.92</v>
      </c>
      <c r="O31">
        <f>'Input sheet'!$P$3</f>
        <v>0.92</v>
      </c>
      <c r="P31">
        <f>'Input sheet'!$P$3</f>
        <v>0.92</v>
      </c>
      <c r="S31">
        <f>'Input sheet'!$P$3</f>
        <v>0.92</v>
      </c>
      <c r="T31">
        <f>'Input sheet'!$P$3</f>
        <v>0.92</v>
      </c>
      <c r="U31">
        <f>'Input sheet'!$P$3</f>
        <v>0.92</v>
      </c>
    </row>
    <row r="32" spans="1:21">
      <c r="A32" t="s">
        <v>58</v>
      </c>
      <c r="B32">
        <v>7381</v>
      </c>
      <c r="D32">
        <v>100</v>
      </c>
      <c r="E32">
        <v>100</v>
      </c>
      <c r="F32">
        <v>100</v>
      </c>
      <c r="I32">
        <v>100</v>
      </c>
      <c r="J32">
        <v>100</v>
      </c>
      <c r="K32">
        <v>100</v>
      </c>
      <c r="N32">
        <v>100</v>
      </c>
      <c r="O32">
        <v>100</v>
      </c>
      <c r="P32">
        <v>100</v>
      </c>
      <c r="S32">
        <v>100</v>
      </c>
      <c r="T32">
        <v>100</v>
      </c>
      <c r="U32">
        <v>100</v>
      </c>
    </row>
    <row r="33" spans="1:31">
      <c r="A33" t="s">
        <v>59</v>
      </c>
      <c r="B33">
        <v>7381</v>
      </c>
      <c r="D33">
        <f>'Input sheet'!$P$4</f>
        <v>2</v>
      </c>
      <c r="E33">
        <f>'Input sheet'!$P$4</f>
        <v>2</v>
      </c>
      <c r="F33">
        <f>'Input sheet'!$P$4</f>
        <v>2</v>
      </c>
      <c r="I33">
        <f>'Input sheet'!$P$4</f>
        <v>2</v>
      </c>
      <c r="J33">
        <f>'Input sheet'!$P$4</f>
        <v>2</v>
      </c>
      <c r="K33">
        <f>'Input sheet'!$P$4</f>
        <v>2</v>
      </c>
      <c r="N33">
        <f>'Input sheet'!$P$4</f>
        <v>2</v>
      </c>
      <c r="O33">
        <f>'Input sheet'!$P$4</f>
        <v>2</v>
      </c>
      <c r="P33">
        <f>'Input sheet'!$P$4</f>
        <v>2</v>
      </c>
      <c r="S33">
        <f>'Input sheet'!$P$4</f>
        <v>2</v>
      </c>
      <c r="T33">
        <f>'Input sheet'!$P$4</f>
        <v>2</v>
      </c>
      <c r="U33">
        <f>'Input sheet'!$P$4</f>
        <v>2</v>
      </c>
    </row>
    <row r="34" spans="1:31">
      <c r="A34" t="s">
        <v>60</v>
      </c>
      <c r="B34">
        <v>7381</v>
      </c>
      <c r="D34">
        <v>0</v>
      </c>
      <c r="E34">
        <v>0</v>
      </c>
      <c r="F34">
        <v>0</v>
      </c>
      <c r="I34">
        <v>0</v>
      </c>
      <c r="J34">
        <v>0</v>
      </c>
      <c r="K34">
        <v>0</v>
      </c>
      <c r="N34">
        <v>0</v>
      </c>
      <c r="O34">
        <v>0</v>
      </c>
      <c r="P34">
        <v>0</v>
      </c>
      <c r="S34">
        <v>0</v>
      </c>
      <c r="T34">
        <v>0</v>
      </c>
      <c r="U34">
        <v>0</v>
      </c>
    </row>
    <row r="35" spans="1:31">
      <c r="A35" t="s">
        <v>61</v>
      </c>
      <c r="B35">
        <v>7381</v>
      </c>
      <c r="D35">
        <v>0</v>
      </c>
      <c r="E35">
        <v>0</v>
      </c>
      <c r="F35">
        <v>0</v>
      </c>
      <c r="I35">
        <v>0</v>
      </c>
      <c r="J35">
        <v>0</v>
      </c>
      <c r="K35">
        <v>0</v>
      </c>
      <c r="N35">
        <v>0</v>
      </c>
      <c r="O35">
        <v>0</v>
      </c>
      <c r="P35">
        <v>0</v>
      </c>
      <c r="S35">
        <v>0</v>
      </c>
      <c r="T35">
        <v>0</v>
      </c>
      <c r="U35">
        <v>0</v>
      </c>
    </row>
    <row r="36" spans="1:31">
      <c r="A36" t="s">
        <v>62</v>
      </c>
      <c r="B36">
        <v>7381</v>
      </c>
      <c r="D36">
        <v>0</v>
      </c>
      <c r="E36">
        <v>0</v>
      </c>
      <c r="F36">
        <v>0</v>
      </c>
      <c r="I36">
        <v>0</v>
      </c>
      <c r="J36">
        <v>0</v>
      </c>
      <c r="K36">
        <v>0</v>
      </c>
      <c r="N36">
        <v>0</v>
      </c>
      <c r="O36">
        <v>0</v>
      </c>
      <c r="P36">
        <v>0</v>
      </c>
      <c r="S36">
        <v>0</v>
      </c>
      <c r="T36">
        <v>0</v>
      </c>
      <c r="U36">
        <v>0</v>
      </c>
    </row>
    <row r="37" spans="1:31">
      <c r="A37" t="s">
        <v>81</v>
      </c>
      <c r="B37">
        <v>7381</v>
      </c>
      <c r="D37">
        <v>0</v>
      </c>
      <c r="E37">
        <v>0</v>
      </c>
      <c r="F37">
        <v>0</v>
      </c>
      <c r="I37">
        <v>0</v>
      </c>
      <c r="J37">
        <v>0</v>
      </c>
      <c r="K37">
        <v>0</v>
      </c>
      <c r="N37">
        <v>0</v>
      </c>
      <c r="O37">
        <v>0</v>
      </c>
      <c r="P37">
        <v>0</v>
      </c>
      <c r="S37">
        <v>0</v>
      </c>
      <c r="T37">
        <v>0</v>
      </c>
      <c r="U37">
        <v>0</v>
      </c>
    </row>
    <row r="38" spans="1:31">
      <c r="A38" t="s">
        <v>246</v>
      </c>
      <c r="E38" s="155" t="str">
        <f>'Input sheet'!I26</f>
        <v>Foothill</v>
      </c>
      <c r="J38" s="155" t="str">
        <f>'Input sheet'!I2</f>
        <v>Foothill</v>
      </c>
      <c r="O38" s="155" t="str">
        <f>'Input sheet'!A13</f>
        <v>Wakara</v>
      </c>
      <c r="T38" s="155" t="str">
        <f>'Input sheet'!R13</f>
        <v>Wakara</v>
      </c>
    </row>
    <row r="39" spans="1:31" s="156" customFormat="1">
      <c r="A39" s="156" t="s">
        <v>372</v>
      </c>
      <c r="D39" s="156">
        <f>'Phase calculation'!I60</f>
        <v>367</v>
      </c>
      <c r="E39" s="156">
        <f>'Phase calculation'!J60</f>
        <v>4223</v>
      </c>
      <c r="F39" s="156">
        <f>'Phase calculation'!K60</f>
        <v>1408</v>
      </c>
      <c r="I39" s="156">
        <f>'Phase calculation'!L60</f>
        <v>629</v>
      </c>
      <c r="J39" s="156">
        <f>'Phase calculation'!M60</f>
        <v>4223</v>
      </c>
      <c r="K39" s="156">
        <f>'Phase calculation'!N60</f>
        <v>1408</v>
      </c>
      <c r="N39" s="156">
        <f>'Phase calculation'!C60</f>
        <v>1127</v>
      </c>
      <c r="O39" s="156">
        <f>'Phase calculation'!D60</f>
        <v>2815</v>
      </c>
      <c r="P39" s="156">
        <f>'Phase calculation'!E60</f>
        <v>1408</v>
      </c>
      <c r="S39" s="156">
        <f>'Phase calculation'!F60</f>
        <v>1477</v>
      </c>
      <c r="T39" s="156">
        <f>'Phase calculation'!G60</f>
        <v>4223</v>
      </c>
      <c r="U39" s="156">
        <f>'Phase calculation'!H60</f>
        <v>1408</v>
      </c>
    </row>
    <row r="40" spans="1:31">
      <c r="A40" t="s">
        <v>1</v>
      </c>
      <c r="B40" t="s">
        <v>63</v>
      </c>
      <c r="C40" t="s">
        <v>64</v>
      </c>
      <c r="D40" t="s">
        <v>65</v>
      </c>
      <c r="E40" t="s">
        <v>66</v>
      </c>
      <c r="F40" t="s">
        <v>67</v>
      </c>
      <c r="G40" t="s">
        <v>68</v>
      </c>
      <c r="H40" t="s">
        <v>69</v>
      </c>
      <c r="I40" t="s">
        <v>70</v>
      </c>
      <c r="J40" t="s">
        <v>71</v>
      </c>
      <c r="K40" t="s">
        <v>72</v>
      </c>
      <c r="L40" t="s">
        <v>73</v>
      </c>
      <c r="M40" t="s">
        <v>74</v>
      </c>
    </row>
    <row r="41" spans="1:31">
      <c r="A41">
        <v>1</v>
      </c>
      <c r="B41" s="67">
        <f>'Phase calculation'!C89</f>
        <v>0</v>
      </c>
      <c r="C41" s="67">
        <f>'Phase calculation'!D89</f>
        <v>96</v>
      </c>
      <c r="D41" s="67">
        <f>'Phase calculation'!E89</f>
        <v>23</v>
      </c>
      <c r="E41" s="67">
        <f>'Phase calculation'!F89</f>
        <v>31</v>
      </c>
      <c r="F41" s="67">
        <f>'Phase calculation'!C90</f>
        <v>0</v>
      </c>
      <c r="G41" s="67">
        <f>'Phase calculation'!D90</f>
        <v>96</v>
      </c>
      <c r="H41" s="67">
        <f>'Phase calculation'!E90</f>
        <v>9</v>
      </c>
      <c r="I41" s="67">
        <f>'Phase calculation'!F90</f>
        <v>45</v>
      </c>
      <c r="J41" s="67">
        <f>IF(SUM(B41:I41)=0,0,'Phase calculation'!C25)</f>
        <v>150</v>
      </c>
      <c r="K41" s="62">
        <v>0</v>
      </c>
      <c r="L41" s="62">
        <v>1357</v>
      </c>
      <c r="M41" s="62">
        <v>0</v>
      </c>
    </row>
    <row r="42" spans="1:31" s="62" customFormat="1">
      <c r="A42" s="200" t="s">
        <v>0</v>
      </c>
      <c r="B42" s="62" t="str">
        <f>Phasing_calc!C29</f>
        <v>INTID</v>
      </c>
      <c r="C42" s="62" t="str">
        <f>Phasing_calc!D29</f>
        <v>D1</v>
      </c>
      <c r="D42" s="62" t="str">
        <f>Phasing_calc!E29</f>
        <v>D2</v>
      </c>
      <c r="E42" s="62" t="str">
        <f>Phasing_calc!F29</f>
        <v>D3</v>
      </c>
      <c r="F42" s="62" t="str">
        <f>Phasing_calc!G29</f>
        <v>D4</v>
      </c>
      <c r="G42" s="62" t="str">
        <f>Phasing_calc!H29</f>
        <v>D5</v>
      </c>
      <c r="H42" s="62" t="str">
        <f>Phasing_calc!I29</f>
        <v>D6</v>
      </c>
      <c r="I42" s="62" t="str">
        <f>Phasing_calc!J29</f>
        <v>D7</v>
      </c>
      <c r="J42" s="62" t="str">
        <f>Phasing_calc!K29</f>
        <v>D8</v>
      </c>
    </row>
    <row r="43" spans="1:31">
      <c r="A43" s="200" t="s">
        <v>257</v>
      </c>
      <c r="B43" s="62">
        <f>Phasing_calc!C30</f>
        <v>0</v>
      </c>
      <c r="C43" s="62">
        <f>Phasing_calc!D30</f>
        <v>0</v>
      </c>
      <c r="D43" s="62">
        <f>Phasing_calc!E30</f>
        <v>112</v>
      </c>
      <c r="E43" s="62">
        <f>Phasing_calc!F30</f>
        <v>212</v>
      </c>
      <c r="F43" s="62">
        <f>Phasing_calc!G30</f>
        <v>211</v>
      </c>
      <c r="G43" s="62">
        <f>Phasing_calc!H30</f>
        <v>0</v>
      </c>
      <c r="H43" s="62">
        <f>Phasing_calc!I30</f>
        <v>122</v>
      </c>
      <c r="I43" s="62">
        <f>Phasing_calc!J30</f>
        <v>221</v>
      </c>
      <c r="J43" s="62">
        <f>Phasing_calc!K30</f>
        <v>222</v>
      </c>
      <c r="O43" s="484" t="s">
        <v>206</v>
      </c>
      <c r="P43" s="484"/>
      <c r="Q43" s="484"/>
      <c r="R43" s="484"/>
      <c r="S43" s="484"/>
      <c r="T43" s="484"/>
      <c r="U43" s="484"/>
      <c r="V43" s="484"/>
    </row>
    <row r="44" spans="1:31">
      <c r="A44" s="200" t="s">
        <v>258</v>
      </c>
      <c r="B44" s="62">
        <f>Phasing_calc!C31</f>
        <v>0</v>
      </c>
      <c r="C44" s="62">
        <f>Phasing_calc!D31</f>
        <v>0</v>
      </c>
      <c r="D44" s="62">
        <f>Phasing_calc!E31</f>
        <v>10</v>
      </c>
      <c r="E44" s="62">
        <f>Phasing_calc!F31</f>
        <v>5</v>
      </c>
      <c r="F44" s="62">
        <f>Phasing_calc!G31</f>
        <v>10</v>
      </c>
      <c r="G44" s="62">
        <f>Phasing_calc!H31</f>
        <v>0</v>
      </c>
      <c r="H44" s="62">
        <f>Phasing_calc!I31</f>
        <v>10</v>
      </c>
      <c r="I44" s="62">
        <f>Phasing_calc!J31</f>
        <v>5</v>
      </c>
      <c r="J44" s="62">
        <f>Phasing_calc!K31</f>
        <v>10</v>
      </c>
      <c r="O44" s="481" t="s">
        <v>204</v>
      </c>
      <c r="P44" s="481"/>
      <c r="Q44" s="481"/>
      <c r="R44" s="481"/>
      <c r="S44" s="481"/>
      <c r="T44" s="481"/>
      <c r="U44" s="481"/>
      <c r="V44" s="481"/>
      <c r="X44" s="482" t="s">
        <v>242</v>
      </c>
      <c r="Y44" s="482"/>
      <c r="Z44" s="482"/>
      <c r="AA44" s="482"/>
      <c r="AB44" s="482"/>
      <c r="AC44" s="482"/>
      <c r="AD44" s="482"/>
      <c r="AE44" s="482"/>
    </row>
    <row r="45" spans="1:31" ht="15" customHeight="1">
      <c r="A45" s="200" t="s">
        <v>259</v>
      </c>
      <c r="B45" s="62">
        <f>Phasing_calc!C32</f>
        <v>0</v>
      </c>
      <c r="C45" s="62">
        <f>Phasing_calc!D32</f>
        <v>0</v>
      </c>
      <c r="D45" s="62">
        <f>Phasing_calc!E32</f>
        <v>91</v>
      </c>
      <c r="E45" s="62">
        <f>Phasing_calc!F32</f>
        <v>102</v>
      </c>
      <c r="F45" s="62">
        <f>Phasing_calc!G32</f>
        <v>26</v>
      </c>
      <c r="G45" s="62">
        <f>Phasing_calc!H32</f>
        <v>0</v>
      </c>
      <c r="H45" s="62">
        <f>Phasing_calc!I32</f>
        <v>91</v>
      </c>
      <c r="I45" s="62">
        <f>Phasing_calc!J32</f>
        <v>5</v>
      </c>
      <c r="J45" s="62">
        <f>Phasing_calc!K32</f>
        <v>40</v>
      </c>
      <c r="O45" s="98" t="s">
        <v>205</v>
      </c>
      <c r="P45" s="98"/>
      <c r="Q45" s="98"/>
      <c r="R45" s="98"/>
      <c r="S45" s="98"/>
      <c r="T45" s="98"/>
      <c r="U45" s="98"/>
      <c r="V45" s="99"/>
      <c r="X45" s="482"/>
      <c r="Y45" s="482"/>
      <c r="Z45" s="482"/>
      <c r="AA45" s="482"/>
      <c r="AB45" s="482"/>
      <c r="AC45" s="482"/>
      <c r="AD45" s="482"/>
      <c r="AE45" s="482"/>
    </row>
    <row r="46" spans="1:31">
      <c r="A46" s="200" t="s">
        <v>260</v>
      </c>
      <c r="B46" s="62">
        <f>Phasing_calc!C33</f>
        <v>0</v>
      </c>
      <c r="C46" s="62">
        <f>Phasing_calc!D33</f>
        <v>0</v>
      </c>
      <c r="D46" s="62">
        <f>Phasing_calc!E33</f>
        <v>2.2999999999999998</v>
      </c>
      <c r="E46" s="62">
        <f>Phasing_calc!F33</f>
        <v>2</v>
      </c>
      <c r="F46" s="62">
        <f>Phasing_calc!G33</f>
        <v>1.5</v>
      </c>
      <c r="G46" s="62">
        <f>Phasing_calc!H33</f>
        <v>0</v>
      </c>
      <c r="H46" s="62">
        <f>Phasing_calc!I33</f>
        <v>2.2999999999999998</v>
      </c>
      <c r="I46" s="62">
        <f>Phasing_calc!J33</f>
        <v>1.5</v>
      </c>
      <c r="J46" s="62">
        <f>Phasing_calc!K33</f>
        <v>2</v>
      </c>
      <c r="P46" s="97"/>
      <c r="Q46" s="97"/>
      <c r="R46" s="97"/>
      <c r="S46" s="97"/>
      <c r="T46" s="97"/>
      <c r="U46" s="97"/>
      <c r="X46" s="482"/>
      <c r="Y46" s="482"/>
      <c r="Z46" s="482"/>
      <c r="AA46" s="482"/>
      <c r="AB46" s="482"/>
      <c r="AC46" s="482"/>
      <c r="AD46" s="482"/>
      <c r="AE46" s="482"/>
    </row>
    <row r="47" spans="1:31" ht="15" customHeight="1">
      <c r="A47" s="200" t="s">
        <v>261</v>
      </c>
      <c r="B47" s="62">
        <f>Phasing_calc!C34</f>
        <v>0</v>
      </c>
      <c r="C47" s="62">
        <f>Phasing_calc!D34</f>
        <v>0</v>
      </c>
      <c r="D47" s="62">
        <f>Phasing_calc!E34</f>
        <v>10</v>
      </c>
      <c r="E47" s="62">
        <f>Phasing_calc!F34</f>
        <v>10</v>
      </c>
      <c r="F47" s="62">
        <f>Phasing_calc!G34</f>
        <v>10</v>
      </c>
      <c r="G47" s="62">
        <f>Phasing_calc!H34</f>
        <v>0</v>
      </c>
      <c r="H47" s="62">
        <f>Phasing_calc!I34</f>
        <v>10</v>
      </c>
      <c r="I47" s="62">
        <f>Phasing_calc!J34</f>
        <v>10</v>
      </c>
      <c r="J47" s="62">
        <f>Phasing_calc!K34</f>
        <v>10</v>
      </c>
      <c r="O47" s="483" t="s">
        <v>225</v>
      </c>
      <c r="P47" s="483"/>
      <c r="Q47" s="483"/>
      <c r="R47" s="483"/>
      <c r="S47" s="483"/>
      <c r="T47" s="483"/>
      <c r="U47" s="483"/>
      <c r="V47" s="483"/>
      <c r="X47" s="482"/>
      <c r="Y47" s="482"/>
      <c r="Z47" s="482"/>
      <c r="AA47" s="482"/>
      <c r="AB47" s="482"/>
      <c r="AC47" s="482"/>
      <c r="AD47" s="482"/>
      <c r="AE47" s="482"/>
    </row>
    <row r="48" spans="1:31">
      <c r="A48" s="200" t="s">
        <v>262</v>
      </c>
      <c r="B48" s="62">
        <f>Phasing_calc!C35</f>
        <v>0</v>
      </c>
      <c r="C48" s="62">
        <f>Phasing_calc!D35</f>
        <v>0</v>
      </c>
      <c r="D48" s="62">
        <f>Phasing_calc!E35</f>
        <v>10</v>
      </c>
      <c r="E48" s="62">
        <f>Phasing_calc!F35</f>
        <v>33</v>
      </c>
      <c r="F48" s="62">
        <f>Phasing_calc!G35</f>
        <v>15</v>
      </c>
      <c r="G48" s="62">
        <f>Phasing_calc!H35</f>
        <v>0</v>
      </c>
      <c r="H48" s="62">
        <f>Phasing_calc!I35</f>
        <v>33</v>
      </c>
      <c r="I48" s="62">
        <f>Phasing_calc!J35</f>
        <v>33</v>
      </c>
      <c r="J48" s="62">
        <f>Phasing_calc!K35</f>
        <v>33</v>
      </c>
      <c r="O48" s="483"/>
      <c r="P48" s="483"/>
      <c r="Q48" s="483"/>
      <c r="R48" s="483"/>
      <c r="S48" s="483"/>
      <c r="T48" s="483"/>
      <c r="U48" s="483"/>
      <c r="V48" s="483"/>
      <c r="X48" s="482"/>
      <c r="Y48" s="482"/>
      <c r="Z48" s="482"/>
      <c r="AA48" s="482"/>
      <c r="AB48" s="482"/>
      <c r="AC48" s="482"/>
      <c r="AD48" s="482"/>
      <c r="AE48" s="482"/>
    </row>
    <row r="49" spans="1:22">
      <c r="A49" s="200" t="s">
        <v>263</v>
      </c>
      <c r="B49" s="62">
        <f>Phasing_calc!C36</f>
        <v>0</v>
      </c>
      <c r="C49" s="62">
        <f>Phasing_calc!D36</f>
        <v>0</v>
      </c>
      <c r="D49" s="62">
        <f>Phasing_calc!E36</f>
        <v>0.3</v>
      </c>
      <c r="E49" s="62">
        <f>Phasing_calc!F36</f>
        <v>0</v>
      </c>
      <c r="F49" s="62">
        <f>Phasing_calc!G36</f>
        <v>0</v>
      </c>
      <c r="G49" s="62">
        <f>Phasing_calc!H36</f>
        <v>0</v>
      </c>
      <c r="H49" s="62">
        <f>Phasing_calc!I36</f>
        <v>0.3</v>
      </c>
      <c r="I49" s="62">
        <f>Phasing_calc!J36</f>
        <v>0</v>
      </c>
      <c r="J49" s="62">
        <f>Phasing_calc!K36</f>
        <v>0</v>
      </c>
      <c r="O49" s="483"/>
      <c r="P49" s="483"/>
      <c r="Q49" s="483"/>
      <c r="R49" s="483"/>
      <c r="S49" s="483"/>
      <c r="T49" s="483"/>
      <c r="U49" s="483"/>
      <c r="V49" s="483"/>
    </row>
    <row r="50" spans="1:22">
      <c r="A50" s="200" t="s">
        <v>264</v>
      </c>
      <c r="B50" s="62">
        <f>Phasing_calc!C37</f>
        <v>0</v>
      </c>
      <c r="C50" s="62">
        <f>Phasing_calc!D37</f>
        <v>0</v>
      </c>
      <c r="D50" s="62">
        <f>Phasing_calc!E37</f>
        <v>3.9</v>
      </c>
      <c r="E50" s="62">
        <f>Phasing_calc!F37</f>
        <v>3.2</v>
      </c>
      <c r="F50" s="62">
        <f>Phasing_calc!G37</f>
        <v>3</v>
      </c>
      <c r="G50" s="62">
        <f>Phasing_calc!H37</f>
        <v>0</v>
      </c>
      <c r="H50" s="62">
        <f>Phasing_calc!I37</f>
        <v>3.9</v>
      </c>
      <c r="I50" s="62">
        <f>Phasing_calc!J37</f>
        <v>3</v>
      </c>
      <c r="J50" s="62">
        <f>Phasing_calc!K37</f>
        <v>3.2</v>
      </c>
      <c r="O50" s="483"/>
      <c r="P50" s="483"/>
      <c r="Q50" s="483"/>
      <c r="R50" s="483"/>
      <c r="S50" s="483"/>
      <c r="T50" s="483"/>
      <c r="U50" s="483"/>
      <c r="V50" s="483"/>
    </row>
    <row r="51" spans="1:22">
      <c r="A51" s="200" t="s">
        <v>265</v>
      </c>
      <c r="B51" s="62">
        <f>Phasing_calc!C38</f>
        <v>0</v>
      </c>
      <c r="C51" s="62">
        <f>Phasing_calc!D38</f>
        <v>0</v>
      </c>
      <c r="D51" s="62">
        <f>Phasing_calc!E38</f>
        <v>1.9</v>
      </c>
      <c r="E51" s="62">
        <f>Phasing_calc!F38</f>
        <v>2.5</v>
      </c>
      <c r="F51" s="62">
        <f>Phasing_calc!G38</f>
        <v>2.5</v>
      </c>
      <c r="G51" s="62">
        <f>Phasing_calc!H38</f>
        <v>0</v>
      </c>
      <c r="H51" s="62">
        <f>Phasing_calc!I38</f>
        <v>1.9</v>
      </c>
      <c r="I51" s="62">
        <f>Phasing_calc!J38</f>
        <v>2.5</v>
      </c>
      <c r="J51" s="62">
        <f>Phasing_calc!K38</f>
        <v>2.5</v>
      </c>
      <c r="O51" s="483"/>
      <c r="P51" s="483"/>
      <c r="Q51" s="483"/>
      <c r="R51" s="483"/>
      <c r="S51" s="483"/>
      <c r="T51" s="483"/>
      <c r="U51" s="483"/>
      <c r="V51" s="483"/>
    </row>
    <row r="52" spans="1:22">
      <c r="A52" s="200" t="s">
        <v>266</v>
      </c>
      <c r="B52" s="62">
        <f>Phasing_calc!C39</f>
        <v>0</v>
      </c>
      <c r="C52" s="62">
        <f>Phasing_calc!D39</f>
        <v>0</v>
      </c>
      <c r="D52" s="62">
        <f>Phasing_calc!E39</f>
        <v>1</v>
      </c>
      <c r="E52" s="62">
        <f>Phasing_calc!F39</f>
        <v>0</v>
      </c>
      <c r="F52" s="62">
        <f>Phasing_calc!G39</f>
        <v>1</v>
      </c>
      <c r="G52" s="62">
        <f>Phasing_calc!H39</f>
        <v>0</v>
      </c>
      <c r="H52" s="62">
        <f>Phasing_calc!I39</f>
        <v>1</v>
      </c>
      <c r="I52" s="62">
        <f>Phasing_calc!J39</f>
        <v>0</v>
      </c>
      <c r="J52" s="62">
        <f>Phasing_calc!K39</f>
        <v>1</v>
      </c>
      <c r="O52" s="483"/>
      <c r="P52" s="483"/>
      <c r="Q52" s="483"/>
      <c r="R52" s="483"/>
      <c r="S52" s="483"/>
      <c r="T52" s="483"/>
      <c r="U52" s="483"/>
      <c r="V52" s="483"/>
    </row>
    <row r="53" spans="1:22">
      <c r="A53" s="200" t="s">
        <v>267</v>
      </c>
      <c r="B53" s="62">
        <f>Phasing_calc!C40</f>
        <v>0</v>
      </c>
      <c r="C53" s="62">
        <f>Phasing_calc!D40</f>
        <v>0</v>
      </c>
      <c r="D53" s="62">
        <f>Phasing_calc!E40</f>
        <v>5</v>
      </c>
      <c r="E53" s="62">
        <f>Phasing_calc!F40</f>
        <v>0</v>
      </c>
      <c r="F53" s="62">
        <f>Phasing_calc!G40</f>
        <v>5</v>
      </c>
      <c r="G53" s="62">
        <f>Phasing_calc!H40</f>
        <v>0</v>
      </c>
      <c r="H53" s="62">
        <f>Phasing_calc!I40</f>
        <v>5</v>
      </c>
      <c r="I53" s="62">
        <f>Phasing_calc!J40</f>
        <v>0</v>
      </c>
      <c r="J53" s="62">
        <f>Phasing_calc!K40</f>
        <v>5</v>
      </c>
      <c r="O53" s="483"/>
      <c r="P53" s="483"/>
      <c r="Q53" s="483"/>
      <c r="R53" s="483"/>
      <c r="S53" s="483"/>
      <c r="T53" s="483"/>
      <c r="U53" s="483"/>
      <c r="V53" s="483"/>
    </row>
    <row r="54" spans="1:22">
      <c r="A54" s="200" t="s">
        <v>268</v>
      </c>
      <c r="B54" s="62">
        <f>Phasing_calc!C41</f>
        <v>0</v>
      </c>
      <c r="C54" s="62">
        <f>Phasing_calc!D41</f>
        <v>0</v>
      </c>
      <c r="D54" s="62">
        <f>Phasing_calc!E41</f>
        <v>24</v>
      </c>
      <c r="E54" s="62">
        <f>Phasing_calc!F41</f>
        <v>0</v>
      </c>
      <c r="F54" s="62">
        <f>Phasing_calc!G41</f>
        <v>20</v>
      </c>
      <c r="G54" s="62">
        <f>Phasing_calc!H41</f>
        <v>0</v>
      </c>
      <c r="H54" s="62">
        <f>Phasing_calc!I41</f>
        <v>24</v>
      </c>
      <c r="I54" s="62">
        <f>Phasing_calc!J41</f>
        <v>0</v>
      </c>
      <c r="J54" s="62">
        <f>Phasing_calc!K41</f>
        <v>24</v>
      </c>
      <c r="O54" s="483"/>
      <c r="P54" s="483"/>
      <c r="Q54" s="483"/>
      <c r="R54" s="483"/>
      <c r="S54" s="483"/>
      <c r="T54" s="483"/>
      <c r="U54" s="483"/>
      <c r="V54" s="483"/>
    </row>
    <row r="55" spans="1:22">
      <c r="A55" s="200" t="s">
        <v>269</v>
      </c>
      <c r="B55" s="62">
        <f>Phasing_calc!C42</f>
        <v>0</v>
      </c>
      <c r="C55" s="62">
        <f>Phasing_calc!D42</f>
        <v>0</v>
      </c>
      <c r="D55" s="62">
        <f>Phasing_calc!E42</f>
        <v>1</v>
      </c>
      <c r="E55" s="62">
        <f>Phasing_calc!F42</f>
        <v>0</v>
      </c>
      <c r="F55" s="62">
        <f>Phasing_calc!G42</f>
        <v>1</v>
      </c>
      <c r="G55" s="62">
        <f>Phasing_calc!H42</f>
        <v>0</v>
      </c>
      <c r="H55" s="62">
        <f>Phasing_calc!I42</f>
        <v>1</v>
      </c>
      <c r="I55" s="62">
        <f>Phasing_calc!J42</f>
        <v>0</v>
      </c>
      <c r="J55" s="62">
        <f>Phasing_calc!K42</f>
        <v>1</v>
      </c>
      <c r="O55" s="483"/>
      <c r="P55" s="483"/>
      <c r="Q55" s="483"/>
      <c r="R55" s="483"/>
      <c r="S55" s="483"/>
      <c r="T55" s="483"/>
      <c r="U55" s="483"/>
      <c r="V55" s="483"/>
    </row>
    <row r="56" spans="1:22">
      <c r="A56" s="200" t="s">
        <v>270</v>
      </c>
      <c r="B56" s="62">
        <f>Phasing_calc!C43</f>
        <v>0</v>
      </c>
      <c r="C56" s="62">
        <f>Phasing_calc!D43</f>
        <v>0</v>
      </c>
      <c r="D56" s="62">
        <f>Phasing_calc!E43</f>
        <v>35</v>
      </c>
      <c r="E56" s="62">
        <f>Phasing_calc!F43</f>
        <v>9</v>
      </c>
      <c r="F56" s="62">
        <f>Phasing_calc!G43</f>
        <v>31</v>
      </c>
      <c r="G56" s="62">
        <f>Phasing_calc!H43</f>
        <v>0</v>
      </c>
      <c r="H56" s="62">
        <f>Phasing_calc!I43</f>
        <v>35</v>
      </c>
      <c r="I56" s="62">
        <f>Phasing_calc!J43</f>
        <v>9</v>
      </c>
      <c r="J56" s="62">
        <f>Phasing_calc!K43</f>
        <v>35</v>
      </c>
    </row>
    <row r="57" spans="1:22">
      <c r="A57" s="200" t="s">
        <v>271</v>
      </c>
      <c r="B57" s="62">
        <f>Phasing_calc!C44</f>
        <v>0</v>
      </c>
      <c r="C57" s="62">
        <f>Phasing_calc!D44</f>
        <v>0</v>
      </c>
      <c r="D57" s="62">
        <f>Phasing_calc!E44</f>
        <v>1</v>
      </c>
      <c r="E57" s="62">
        <f>Phasing_calc!F44</f>
        <v>0</v>
      </c>
      <c r="F57" s="62">
        <f>Phasing_calc!G44</f>
        <v>1</v>
      </c>
      <c r="G57" s="62">
        <f>Phasing_calc!H44</f>
        <v>0</v>
      </c>
      <c r="H57" s="62">
        <f>Phasing_calc!I44</f>
        <v>1</v>
      </c>
      <c r="I57" s="62">
        <f>Phasing_calc!J44</f>
        <v>0</v>
      </c>
      <c r="J57" s="62">
        <f>Phasing_calc!K44</f>
        <v>1</v>
      </c>
    </row>
    <row r="58" spans="1:22">
      <c r="A58" s="200" t="s">
        <v>272</v>
      </c>
      <c r="B58" s="62">
        <f>Phasing_calc!C45</f>
        <v>0</v>
      </c>
      <c r="C58" s="62">
        <f>Phasing_calc!D45</f>
        <v>0</v>
      </c>
      <c r="D58" s="62">
        <f>Phasing_calc!E45</f>
        <v>1</v>
      </c>
      <c r="E58" s="62">
        <f>Phasing_calc!F45</f>
        <v>1</v>
      </c>
      <c r="F58" s="62">
        <f>Phasing_calc!G45</f>
        <v>1</v>
      </c>
      <c r="G58" s="62">
        <f>Phasing_calc!H45</f>
        <v>0</v>
      </c>
      <c r="H58" s="62">
        <f>Phasing_calc!I45</f>
        <v>1</v>
      </c>
      <c r="I58" s="62">
        <f>Phasing_calc!J45</f>
        <v>1</v>
      </c>
      <c r="J58" s="62">
        <f>Phasing_calc!K45</f>
        <v>1</v>
      </c>
    </row>
    <row r="59" spans="1:22">
      <c r="A59" s="200" t="s">
        <v>273</v>
      </c>
      <c r="B59" s="62">
        <f>Phasing_calc!C46</f>
        <v>0</v>
      </c>
      <c r="C59" s="62">
        <f>Phasing_calc!D46</f>
        <v>0</v>
      </c>
      <c r="D59" s="62">
        <f>Phasing_calc!E46</f>
        <v>0</v>
      </c>
      <c r="E59" s="62">
        <f>Phasing_calc!F46</f>
        <v>96</v>
      </c>
      <c r="F59" s="62">
        <f>Phasing_calc!G46</f>
        <v>119</v>
      </c>
      <c r="G59" s="62">
        <f>Phasing_calc!H46</f>
        <v>0</v>
      </c>
      <c r="H59" s="62">
        <f>Phasing_calc!I46</f>
        <v>0</v>
      </c>
      <c r="I59" s="62">
        <f>Phasing_calc!J46</f>
        <v>96</v>
      </c>
      <c r="J59" s="62">
        <f>Phasing_calc!K46</f>
        <v>105</v>
      </c>
    </row>
    <row r="60" spans="1:22">
      <c r="A60" s="200" t="s">
        <v>274</v>
      </c>
      <c r="B60" s="62">
        <f>Phasing_calc!C47</f>
        <v>0</v>
      </c>
      <c r="C60" s="62">
        <f>Phasing_calc!D47</f>
        <v>0</v>
      </c>
      <c r="D60" s="62">
        <f>Phasing_calc!E47</f>
        <v>96</v>
      </c>
      <c r="E60" s="62">
        <f>Phasing_calc!F47</f>
        <v>119</v>
      </c>
      <c r="F60" s="62">
        <f>Phasing_calc!G47</f>
        <v>150</v>
      </c>
      <c r="G60" s="62">
        <f>Phasing_calc!H47</f>
        <v>0</v>
      </c>
      <c r="H60" s="62">
        <f>Phasing_calc!I47</f>
        <v>96</v>
      </c>
      <c r="I60" s="62">
        <f>Phasing_calc!J47</f>
        <v>105</v>
      </c>
      <c r="J60" s="62">
        <f>Phasing_calc!K47</f>
        <v>150</v>
      </c>
    </row>
    <row r="61" spans="1:22">
      <c r="A61" s="200" t="s">
        <v>275</v>
      </c>
      <c r="B61" s="62">
        <f>Phasing_calc!C48</f>
        <v>0</v>
      </c>
      <c r="C61" s="62">
        <f>Phasing_calc!D48</f>
        <v>0</v>
      </c>
      <c r="D61" s="62">
        <f>Phasing_calc!E48</f>
        <v>90</v>
      </c>
      <c r="E61" s="62">
        <f>Phasing_calc!F48</f>
        <v>113</v>
      </c>
      <c r="F61" s="62">
        <f>Phasing_calc!G48</f>
        <v>145</v>
      </c>
      <c r="G61" s="62">
        <f>Phasing_calc!H48</f>
        <v>0</v>
      </c>
      <c r="H61" s="62">
        <f>Phasing_calc!I48</f>
        <v>90</v>
      </c>
      <c r="I61" s="62">
        <f>Phasing_calc!J48</f>
        <v>100</v>
      </c>
      <c r="J61" s="62">
        <f>Phasing_calc!K48</f>
        <v>144</v>
      </c>
    </row>
    <row r="62" spans="1:22">
      <c r="A62" s="200" t="s">
        <v>276</v>
      </c>
      <c r="B62" s="62">
        <f>Phasing_calc!C49</f>
        <v>0</v>
      </c>
      <c r="C62" s="62">
        <f>Phasing_calc!D49</f>
        <v>0</v>
      </c>
      <c r="D62" s="62">
        <f>Phasing_calc!E49</f>
        <v>90</v>
      </c>
      <c r="E62" s="62">
        <f>Phasing_calc!F49</f>
        <v>113</v>
      </c>
      <c r="F62" s="62">
        <f>Phasing_calc!G49</f>
        <v>145</v>
      </c>
      <c r="G62" s="62">
        <f>Phasing_calc!H49</f>
        <v>0</v>
      </c>
      <c r="H62" s="62">
        <f>Phasing_calc!I49</f>
        <v>90</v>
      </c>
      <c r="I62" s="62">
        <f>Phasing_calc!J49</f>
        <v>100</v>
      </c>
      <c r="J62" s="62">
        <f>Phasing_calc!K49</f>
        <v>144</v>
      </c>
    </row>
    <row r="63" spans="1:22">
      <c r="A63" s="200" t="s">
        <v>277</v>
      </c>
      <c r="B63" s="62">
        <f>Phasing_calc!C50</f>
        <v>0</v>
      </c>
      <c r="C63" s="62">
        <f>Phasing_calc!D50</f>
        <v>0</v>
      </c>
      <c r="D63" s="62">
        <f>Phasing_calc!E50</f>
        <v>0</v>
      </c>
      <c r="E63" s="62">
        <f>Phasing_calc!F50</f>
        <v>96</v>
      </c>
      <c r="F63" s="62">
        <f>Phasing_calc!G50</f>
        <v>119</v>
      </c>
      <c r="G63" s="62">
        <f>Phasing_calc!H50</f>
        <v>0</v>
      </c>
      <c r="H63" s="62">
        <f>Phasing_calc!I50</f>
        <v>0</v>
      </c>
      <c r="I63" s="62">
        <f>Phasing_calc!J50</f>
        <v>96</v>
      </c>
      <c r="J63" s="62">
        <f>Phasing_calc!K50</f>
        <v>105</v>
      </c>
    </row>
    <row r="64" spans="1:22">
      <c r="A64" s="200" t="s">
        <v>278</v>
      </c>
      <c r="B64" s="62">
        <f>Phasing_calc!C51</f>
        <v>0</v>
      </c>
      <c r="C64" s="62">
        <f>Phasing_calc!D51</f>
        <v>0</v>
      </c>
      <c r="D64" s="62">
        <f>Phasing_calc!E51</f>
        <v>90</v>
      </c>
      <c r="E64" s="62">
        <f>Phasing_calc!F51</f>
        <v>113</v>
      </c>
      <c r="F64" s="62">
        <f>Phasing_calc!G51</f>
        <v>145</v>
      </c>
      <c r="G64" s="62">
        <f>Phasing_calc!H51</f>
        <v>0</v>
      </c>
      <c r="H64" s="62">
        <f>Phasing_calc!I51</f>
        <v>90</v>
      </c>
      <c r="I64" s="62">
        <f>Phasing_calc!J51</f>
        <v>100</v>
      </c>
      <c r="J64" s="62">
        <f>Phasing_calc!K51</f>
        <v>144</v>
      </c>
    </row>
    <row r="65" spans="1:21">
      <c r="A65" s="200" t="s">
        <v>279</v>
      </c>
      <c r="B65" s="62">
        <f>Phasing_calc!C52</f>
        <v>0</v>
      </c>
      <c r="C65" s="62">
        <f>Phasing_calc!D52</f>
        <v>0</v>
      </c>
      <c r="D65" s="62">
        <f>Phasing_calc!E52</f>
        <v>90</v>
      </c>
      <c r="E65" s="62">
        <f>Phasing_calc!F52</f>
        <v>113</v>
      </c>
      <c r="F65" s="62">
        <f>Phasing_calc!G52</f>
        <v>145</v>
      </c>
      <c r="G65" s="62">
        <f>Phasing_calc!H52</f>
        <v>0</v>
      </c>
      <c r="H65" s="62">
        <f>Phasing_calc!I52</f>
        <v>90</v>
      </c>
      <c r="I65" s="62">
        <f>Phasing_calc!J52</f>
        <v>100</v>
      </c>
      <c r="J65" s="62">
        <f>Phasing_calc!K52</f>
        <v>144</v>
      </c>
    </row>
    <row r="66" spans="1:21" s="156" customFormat="1">
      <c r="A66" s="303" t="s">
        <v>373</v>
      </c>
      <c r="D66" s="156">
        <f>'Phase calculation'!I61</f>
        <v>0.61333333333333329</v>
      </c>
      <c r="E66" s="156">
        <f>'Phase calculation'!J61</f>
        <v>0.61333333333333329</v>
      </c>
      <c r="F66" s="156">
        <f>'Phase calculation'!K61</f>
        <v>0.61333333333333329</v>
      </c>
      <c r="I66" s="156">
        <f>'Phase calculation'!L61</f>
        <v>0.61333333333333329</v>
      </c>
      <c r="J66" s="156">
        <f>'Phase calculation'!M61</f>
        <v>0.61333333333333329</v>
      </c>
      <c r="K66" s="156">
        <f>'Phase calculation'!N61</f>
        <v>0.61333333333333329</v>
      </c>
      <c r="N66" s="156">
        <f>'Phase calculation'!C61</f>
        <v>0.16666666666666666</v>
      </c>
      <c r="O66" s="156">
        <f>'Phase calculation'!D61</f>
        <v>0.18</v>
      </c>
      <c r="P66" s="156">
        <f>'Phase calculation'!E61</f>
        <v>0.18</v>
      </c>
      <c r="S66" s="156">
        <f>'Phase calculation'!F61</f>
        <v>0.35066666666666663</v>
      </c>
      <c r="T66" s="156">
        <f>'Phase calculation'!G61</f>
        <v>0.27333333333333332</v>
      </c>
      <c r="U66" s="156">
        <f>'Phase calculation'!H61</f>
        <v>0.27333333333333332</v>
      </c>
    </row>
  </sheetData>
  <mergeCells count="4">
    <mergeCell ref="O44:V44"/>
    <mergeCell ref="X44:AE48"/>
    <mergeCell ref="O47:V55"/>
    <mergeCell ref="O43:V43"/>
  </mergeCell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sheetPr codeName="Sheet2"/>
  <dimension ref="A1:W42"/>
  <sheetViews>
    <sheetView showGridLines="0" tabSelected="1" zoomScaleNormal="100" workbookViewId="0">
      <selection activeCell="E1" sqref="E1"/>
    </sheetView>
  </sheetViews>
  <sheetFormatPr defaultRowHeight="12.75"/>
  <cols>
    <col min="1" max="1" width="9.140625" style="333"/>
    <col min="2" max="2" width="9.140625" style="333" customWidth="1"/>
    <col min="3" max="3" width="4.7109375" style="333" customWidth="1"/>
    <col min="4" max="4" width="9.42578125" style="333" bestFit="1" customWidth="1"/>
    <col min="5" max="7" width="9.140625" style="333"/>
    <col min="8" max="8" width="11.5703125" style="333" bestFit="1" customWidth="1"/>
    <col min="9" max="9" width="10.5703125" style="333" bestFit="1" customWidth="1"/>
    <col min="10" max="14" width="9.140625" style="333"/>
    <col min="15" max="15" width="11.5703125" style="333" customWidth="1"/>
    <col min="16" max="16" width="9.85546875" style="333" bestFit="1" customWidth="1"/>
    <col min="17" max="17" width="4.7109375" style="333" customWidth="1"/>
    <col min="18" max="18" width="9.140625" style="333"/>
    <col min="19" max="20" width="9.140625" style="333" customWidth="1"/>
    <col min="21" max="23" width="9.140625" style="333" hidden="1" customWidth="1"/>
    <col min="24" max="16384" width="9.140625" style="333"/>
  </cols>
  <sheetData>
    <row r="1" spans="1:23" ht="15" customHeight="1" thickBot="1">
      <c r="A1" s="491" t="s">
        <v>485</v>
      </c>
      <c r="B1" s="492"/>
      <c r="C1" s="492"/>
      <c r="D1" s="493"/>
    </row>
    <row r="2" spans="1:23" ht="15" customHeight="1" thickBot="1">
      <c r="A2" s="494"/>
      <c r="B2" s="495"/>
      <c r="C2" s="495"/>
      <c r="D2" s="496"/>
      <c r="E2" s="334"/>
      <c r="F2" s="334"/>
      <c r="H2" s="333" t="s">
        <v>248</v>
      </c>
      <c r="I2" s="478" t="s">
        <v>534</v>
      </c>
      <c r="J2" s="479"/>
      <c r="K2" s="480"/>
      <c r="O2" s="377" t="s">
        <v>239</v>
      </c>
      <c r="P2" s="378">
        <v>1900</v>
      </c>
    </row>
    <row r="3" spans="1:23" ht="13.5" thickBot="1">
      <c r="A3" s="494"/>
      <c r="B3" s="495"/>
      <c r="C3" s="495"/>
      <c r="D3" s="496"/>
      <c r="E3" s="334"/>
      <c r="F3" s="334"/>
      <c r="O3" s="341" t="s">
        <v>237</v>
      </c>
      <c r="P3" s="345">
        <v>0.92</v>
      </c>
    </row>
    <row r="4" spans="1:23" ht="13.5" thickBot="1">
      <c r="A4" s="494"/>
      <c r="B4" s="495"/>
      <c r="C4" s="495"/>
      <c r="D4" s="496"/>
      <c r="E4" s="334"/>
      <c r="F4" s="334"/>
      <c r="I4" s="333" t="s">
        <v>234</v>
      </c>
      <c r="J4" s="335">
        <v>40</v>
      </c>
      <c r="L4" s="333" t="s">
        <v>377</v>
      </c>
      <c r="O4" s="377" t="s">
        <v>238</v>
      </c>
      <c r="P4" s="378">
        <v>2</v>
      </c>
    </row>
    <row r="5" spans="1:23" ht="13.5" thickBot="1">
      <c r="A5" s="494"/>
      <c r="B5" s="495"/>
      <c r="C5" s="495"/>
      <c r="D5" s="496"/>
      <c r="E5" s="334"/>
      <c r="F5" s="334"/>
      <c r="L5" s="336" t="s">
        <v>303</v>
      </c>
      <c r="O5" s="341" t="s">
        <v>427</v>
      </c>
      <c r="P5" s="375">
        <v>4</v>
      </c>
      <c r="Q5" s="371"/>
      <c r="R5" s="345"/>
      <c r="U5" s="337"/>
      <c r="V5" s="337"/>
    </row>
    <row r="6" spans="1:23" ht="15" customHeight="1">
      <c r="A6" s="494"/>
      <c r="B6" s="495"/>
      <c r="C6" s="495"/>
      <c r="D6" s="496"/>
      <c r="E6" s="334"/>
      <c r="F6" s="334"/>
      <c r="G6" s="333" t="s">
        <v>231</v>
      </c>
      <c r="H6" s="347" t="s">
        <v>375</v>
      </c>
      <c r="I6" s="338">
        <v>1</v>
      </c>
      <c r="J6" s="338">
        <v>3</v>
      </c>
      <c r="K6" s="338">
        <v>1</v>
      </c>
      <c r="L6" s="339">
        <f>IF(OR(Sheet1!J29&gt;0,L5="Yes"),1,0)</f>
        <v>1</v>
      </c>
      <c r="O6" s="379" t="s">
        <v>430</v>
      </c>
      <c r="P6" s="380" t="s">
        <v>429</v>
      </c>
      <c r="Q6" s="372">
        <f>IF(P6="CBD",0.9,1)</f>
        <v>1</v>
      </c>
    </row>
    <row r="7" spans="1:23" ht="13.5" customHeight="1" thickBot="1">
      <c r="A7" s="494"/>
      <c r="B7" s="495"/>
      <c r="C7" s="495"/>
      <c r="D7" s="496"/>
      <c r="E7" s="334"/>
      <c r="F7" s="334"/>
      <c r="G7" s="333" t="s">
        <v>54</v>
      </c>
      <c r="H7" s="347">
        <v>50</v>
      </c>
      <c r="I7" s="340">
        <v>23</v>
      </c>
      <c r="J7" s="340">
        <v>1422</v>
      </c>
      <c r="K7" s="340">
        <v>124</v>
      </c>
      <c r="L7" s="490" t="str">
        <f>IF($B$21="Yes","SB LT Treatment","")</f>
        <v/>
      </c>
      <c r="M7" s="490"/>
      <c r="O7" s="341" t="s">
        <v>431</v>
      </c>
      <c r="P7" s="382">
        <v>150</v>
      </c>
      <c r="U7" s="341"/>
      <c r="V7" s="341"/>
    </row>
    <row r="8" spans="1:23" ht="13.5" thickBot="1">
      <c r="A8" s="494"/>
      <c r="B8" s="495"/>
      <c r="C8" s="495"/>
      <c r="D8" s="496"/>
      <c r="F8" s="490" t="str">
        <f>IF($B$21="Yes","EB LT Treatment","")</f>
        <v/>
      </c>
      <c r="G8" s="490"/>
      <c r="L8" s="485"/>
      <c r="M8" s="486"/>
      <c r="O8" s="381" t="s">
        <v>432</v>
      </c>
      <c r="P8" s="383">
        <v>150</v>
      </c>
    </row>
    <row r="9" spans="1:23" ht="13.5" thickBot="1">
      <c r="A9" s="497"/>
      <c r="B9" s="498"/>
      <c r="C9" s="498"/>
      <c r="D9" s="499"/>
      <c r="F9" s="485"/>
      <c r="G9" s="486"/>
      <c r="L9" s="339">
        <f>IF(L8="",0,VLOOKUP(L8,$V$12:$W$14,2,FALSE))</f>
        <v>0</v>
      </c>
      <c r="M9" s="342"/>
      <c r="O9" s="374"/>
      <c r="P9" s="373"/>
    </row>
    <row r="10" spans="1:23">
      <c r="F10" s="339">
        <f>IF(F9="",0,VLOOKUP(F9,$V$12:$W$14,2,FALSE))</f>
        <v>0</v>
      </c>
      <c r="M10" s="333" t="str">
        <f>G11</f>
        <v>Volume</v>
      </c>
      <c r="N10" s="333" t="str">
        <f>F11</f>
        <v>No lanes</v>
      </c>
      <c r="U10" s="333" t="s">
        <v>303</v>
      </c>
      <c r="V10" s="333" t="s">
        <v>304</v>
      </c>
    </row>
    <row r="11" spans="1:23">
      <c r="F11" s="333" t="s">
        <v>231</v>
      </c>
      <c r="G11" s="333" t="s">
        <v>54</v>
      </c>
      <c r="M11" s="347" t="s">
        <v>375</v>
      </c>
      <c r="N11" s="347">
        <v>50</v>
      </c>
    </row>
    <row r="12" spans="1:23" ht="13.5" thickBot="1">
      <c r="A12" s="490" t="s">
        <v>248</v>
      </c>
      <c r="B12" s="490"/>
      <c r="D12" s="333" t="s">
        <v>232</v>
      </c>
      <c r="F12" s="338">
        <v>1</v>
      </c>
      <c r="G12" s="340">
        <v>28</v>
      </c>
      <c r="M12" s="340">
        <v>560</v>
      </c>
      <c r="N12" s="338">
        <v>1</v>
      </c>
      <c r="P12" s="333" t="s">
        <v>233</v>
      </c>
      <c r="R12" s="490" t="s">
        <v>248</v>
      </c>
      <c r="S12" s="490"/>
      <c r="V12" s="343" t="s">
        <v>85</v>
      </c>
      <c r="W12" s="333">
        <v>1</v>
      </c>
    </row>
    <row r="13" spans="1:23" ht="13.5" thickBot="1">
      <c r="A13" s="478" t="s">
        <v>535</v>
      </c>
      <c r="B13" s="480"/>
      <c r="D13" s="335">
        <v>25</v>
      </c>
      <c r="F13" s="342"/>
      <c r="G13" s="342"/>
      <c r="M13" s="342"/>
      <c r="N13" s="342"/>
      <c r="P13" s="335">
        <v>30</v>
      </c>
      <c r="R13" s="478" t="s">
        <v>535</v>
      </c>
      <c r="S13" s="480"/>
      <c r="V13" s="344" t="s">
        <v>86</v>
      </c>
      <c r="W13" s="333">
        <v>2</v>
      </c>
    </row>
    <row r="14" spans="1:23">
      <c r="F14" s="338">
        <v>2</v>
      </c>
      <c r="G14" s="340">
        <v>0</v>
      </c>
      <c r="M14" s="340">
        <v>1</v>
      </c>
      <c r="N14" s="338">
        <v>3</v>
      </c>
      <c r="V14" s="344" t="s">
        <v>311</v>
      </c>
      <c r="W14" s="333">
        <v>3</v>
      </c>
    </row>
    <row r="15" spans="1:23" ht="13.5" thickBot="1">
      <c r="D15" s="333" t="s">
        <v>378</v>
      </c>
      <c r="F15" s="342"/>
      <c r="G15" s="342"/>
      <c r="M15" s="342"/>
      <c r="N15" s="342"/>
      <c r="P15" s="333" t="s">
        <v>379</v>
      </c>
    </row>
    <row r="16" spans="1:23" ht="13.5" thickBot="1">
      <c r="D16" s="336" t="s">
        <v>303</v>
      </c>
      <c r="F16" s="338">
        <v>1</v>
      </c>
      <c r="G16" s="340">
        <v>97</v>
      </c>
      <c r="M16" s="340">
        <v>803</v>
      </c>
      <c r="N16" s="338">
        <v>1</v>
      </c>
      <c r="P16" s="336" t="s">
        <v>303</v>
      </c>
    </row>
    <row r="17" spans="1:21">
      <c r="F17" s="347" t="s">
        <v>375</v>
      </c>
      <c r="G17" s="347">
        <v>50</v>
      </c>
      <c r="U17" s="333" t="s">
        <v>428</v>
      </c>
    </row>
    <row r="18" spans="1:21" ht="13.5" thickBot="1">
      <c r="D18" s="339">
        <f>IF(OR(Sheet1!O29&gt;0,D16="Yes"),1,0)</f>
        <v>1</v>
      </c>
      <c r="M18" s="490" t="str">
        <f>IF($B$21="Yes","WB LT Treatment","")</f>
        <v/>
      </c>
      <c r="N18" s="490"/>
      <c r="P18" s="339">
        <f>IF(OR(Sheet1!T29&gt;0,P16="Yes"),1,0)</f>
        <v>1</v>
      </c>
      <c r="U18" s="333" t="s">
        <v>429</v>
      </c>
    </row>
    <row r="19" spans="1:21" ht="13.5" thickBot="1">
      <c r="M19" s="485"/>
      <c r="N19" s="486"/>
    </row>
    <row r="20" spans="1:21" ht="13.5" thickBot="1">
      <c r="B20" s="500" t="s">
        <v>380</v>
      </c>
      <c r="C20" s="501"/>
      <c r="D20" s="501"/>
      <c r="E20" s="502"/>
      <c r="M20" s="339">
        <f>IF(M19="",0,VLOOKUP(M19,$V$12:$W$14,2,FALSE))</f>
        <v>0</v>
      </c>
      <c r="O20" s="376"/>
      <c r="P20" s="376"/>
    </row>
    <row r="21" spans="1:21" ht="13.5" thickBot="1">
      <c r="B21" s="487" t="s">
        <v>304</v>
      </c>
      <c r="C21" s="488"/>
      <c r="D21" s="488"/>
      <c r="E21" s="489"/>
      <c r="H21" s="333" t="str">
        <f>G7</f>
        <v>Volume</v>
      </c>
      <c r="I21" s="340">
        <v>15</v>
      </c>
      <c r="J21" s="340">
        <v>738</v>
      </c>
      <c r="K21" s="340">
        <v>141</v>
      </c>
      <c r="L21" s="347" t="s">
        <v>375</v>
      </c>
      <c r="M21" s="333" t="s">
        <v>376</v>
      </c>
      <c r="O21" s="376"/>
      <c r="P21" s="376"/>
    </row>
    <row r="22" spans="1:21" ht="13.5" thickBot="1">
      <c r="H22" s="333" t="str">
        <f>G6</f>
        <v>No lanes</v>
      </c>
      <c r="I22" s="338">
        <v>1</v>
      </c>
      <c r="J22" s="338">
        <v>3</v>
      </c>
      <c r="K22" s="338">
        <v>1</v>
      </c>
      <c r="L22" s="347">
        <v>50</v>
      </c>
      <c r="M22" s="346" t="s">
        <v>303</v>
      </c>
      <c r="O22" s="402"/>
      <c r="P22" s="402"/>
    </row>
    <row r="23" spans="1:21" ht="13.5" thickBot="1">
      <c r="F23" s="490" t="str">
        <f>IF($B$21="Yes","NB LT Treatment","")</f>
        <v/>
      </c>
      <c r="G23" s="490"/>
      <c r="O23" s="402"/>
      <c r="P23" s="402"/>
    </row>
    <row r="24" spans="1:21" ht="13.5" thickBot="1">
      <c r="F24" s="485"/>
      <c r="G24" s="486"/>
      <c r="I24" s="333" t="s">
        <v>235</v>
      </c>
      <c r="J24" s="335">
        <v>40</v>
      </c>
      <c r="M24" s="339">
        <f>IF(OR(Sheet1!E29&gt;0,M22="Yes"),1,0)</f>
        <v>1</v>
      </c>
      <c r="O24" s="402"/>
      <c r="P24" s="402"/>
    </row>
    <row r="25" spans="1:21" ht="13.5" thickBot="1">
      <c r="F25" s="339">
        <f>IF(F24="",0,VLOOKUP(F24,$V$12:$W$14,2,FALSE))</f>
        <v>0</v>
      </c>
      <c r="O25" s="402"/>
      <c r="P25" s="402"/>
    </row>
    <row r="26" spans="1:21" ht="13.5" thickBot="1">
      <c r="H26" s="333" t="s">
        <v>248</v>
      </c>
      <c r="I26" s="478" t="s">
        <v>534</v>
      </c>
      <c r="J26" s="479"/>
      <c r="K26" s="480"/>
      <c r="O26" s="402"/>
      <c r="P26" s="402"/>
    </row>
    <row r="27" spans="1:21">
      <c r="O27" s="376"/>
      <c r="P27" s="376"/>
    </row>
    <row r="30" spans="1:21" ht="15">
      <c r="A30" s="484" t="s">
        <v>206</v>
      </c>
      <c r="B30" s="484"/>
      <c r="C30" s="484"/>
      <c r="D30" s="484"/>
      <c r="E30" s="484"/>
      <c r="F30" s="484"/>
      <c r="G30" s="484"/>
      <c r="H30" s="484"/>
    </row>
    <row r="31" spans="1:21" ht="15">
      <c r="A31" s="481" t="s">
        <v>204</v>
      </c>
      <c r="B31" s="481"/>
      <c r="C31" s="481"/>
      <c r="D31" s="481"/>
      <c r="E31" s="481"/>
      <c r="F31" s="481"/>
      <c r="G31" s="481"/>
      <c r="H31" s="481"/>
    </row>
    <row r="32" spans="1:21" ht="15">
      <c r="A32" s="98" t="s">
        <v>205</v>
      </c>
      <c r="B32" s="98"/>
      <c r="C32" s="98"/>
      <c r="D32" s="98"/>
      <c r="E32" s="98"/>
      <c r="F32" s="98"/>
      <c r="G32" s="98"/>
      <c r="H32" s="99"/>
    </row>
    <row r="33" spans="1:8" ht="15">
      <c r="A33"/>
      <c r="B33" s="97"/>
      <c r="C33" s="97"/>
      <c r="D33" s="97"/>
      <c r="E33" s="97"/>
      <c r="F33" s="97"/>
      <c r="G33" s="97"/>
      <c r="H33"/>
    </row>
    <row r="34" spans="1:8">
      <c r="A34" s="483" t="s">
        <v>225</v>
      </c>
      <c r="B34" s="483"/>
      <c r="C34" s="483"/>
      <c r="D34" s="483"/>
      <c r="E34" s="483"/>
      <c r="F34" s="483"/>
      <c r="G34" s="483"/>
      <c r="H34" s="483"/>
    </row>
    <row r="35" spans="1:8">
      <c r="A35" s="483"/>
      <c r="B35" s="483"/>
      <c r="C35" s="483"/>
      <c r="D35" s="483"/>
      <c r="E35" s="483"/>
      <c r="F35" s="483"/>
      <c r="G35" s="483"/>
      <c r="H35" s="483"/>
    </row>
    <row r="36" spans="1:8">
      <c r="A36" s="483"/>
      <c r="B36" s="483"/>
      <c r="C36" s="483"/>
      <c r="D36" s="483"/>
      <c r="E36" s="483"/>
      <c r="F36" s="483"/>
      <c r="G36" s="483"/>
      <c r="H36" s="483"/>
    </row>
    <row r="37" spans="1:8">
      <c r="A37" s="483"/>
      <c r="B37" s="483"/>
      <c r="C37" s="483"/>
      <c r="D37" s="483"/>
      <c r="E37" s="483"/>
      <c r="F37" s="483"/>
      <c r="G37" s="483"/>
      <c r="H37" s="483"/>
    </row>
    <row r="38" spans="1:8">
      <c r="A38" s="483"/>
      <c r="B38" s="483"/>
      <c r="C38" s="483"/>
      <c r="D38" s="483"/>
      <c r="E38" s="483"/>
      <c r="F38" s="483"/>
      <c r="G38" s="483"/>
      <c r="H38" s="483"/>
    </row>
    <row r="39" spans="1:8">
      <c r="A39" s="483"/>
      <c r="B39" s="483"/>
      <c r="C39" s="483"/>
      <c r="D39" s="483"/>
      <c r="E39" s="483"/>
      <c r="F39" s="483"/>
      <c r="G39" s="483"/>
      <c r="H39" s="483"/>
    </row>
    <row r="40" spans="1:8">
      <c r="A40" s="483"/>
      <c r="B40" s="483"/>
      <c r="C40" s="483"/>
      <c r="D40" s="483"/>
      <c r="E40" s="483"/>
      <c r="F40" s="483"/>
      <c r="G40" s="483"/>
      <c r="H40" s="483"/>
    </row>
    <row r="41" spans="1:8">
      <c r="A41" s="483"/>
      <c r="B41" s="483"/>
      <c r="C41" s="483"/>
      <c r="D41" s="483"/>
      <c r="E41" s="483"/>
      <c r="F41" s="483"/>
      <c r="G41" s="483"/>
      <c r="H41" s="483"/>
    </row>
    <row r="42" spans="1:8">
      <c r="A42" s="483"/>
      <c r="B42" s="483"/>
      <c r="C42" s="483"/>
      <c r="D42" s="483"/>
      <c r="E42" s="483"/>
      <c r="F42" s="483"/>
      <c r="G42" s="483"/>
      <c r="H42" s="483"/>
    </row>
  </sheetData>
  <mergeCells count="16">
    <mergeCell ref="A30:H30"/>
    <mergeCell ref="A31:H31"/>
    <mergeCell ref="A34:H42"/>
    <mergeCell ref="R12:S12"/>
    <mergeCell ref="F23:G23"/>
    <mergeCell ref="M18:N18"/>
    <mergeCell ref="M19:N19"/>
    <mergeCell ref="F24:G24"/>
    <mergeCell ref="L8:M8"/>
    <mergeCell ref="B21:E21"/>
    <mergeCell ref="F8:G8"/>
    <mergeCell ref="F9:G9"/>
    <mergeCell ref="A12:B12"/>
    <mergeCell ref="A1:D9"/>
    <mergeCell ref="B20:E20"/>
    <mergeCell ref="L7:M7"/>
  </mergeCells>
  <conditionalFormatting sqref="P8:P9">
    <cfRule type="containsText" dxfId="31" priority="11" stopIfTrue="1" operator="containsText" text="CS/RS">
      <formula>NOT(ISERROR(SEARCH("CS/RS",P8)))</formula>
    </cfRule>
    <cfRule type="containsText" dxfId="30" priority="12" stopIfTrue="1" operator="containsText" text="Webster">
      <formula>NOT(ISERROR(SEARCH("Webster",P8)))</formula>
    </cfRule>
  </conditionalFormatting>
  <conditionalFormatting sqref="F8:G8 F23:G23 L7:M7 M18:N18">
    <cfRule type="containsText" dxfId="29" priority="10" stopIfTrue="1" operator="containsText" text="LT">
      <formula>NOT(ISERROR(SEARCH("LT",F7)))</formula>
    </cfRule>
  </conditionalFormatting>
  <conditionalFormatting sqref="F9:G9 F24:G24 M19:N19 L8:M8">
    <cfRule type="containsText" dxfId="28" priority="6" stopIfTrue="1" operator="containsText" text="P">
      <formula>NOT(ISERROR(SEARCH("P",F8)))</formula>
    </cfRule>
  </conditionalFormatting>
  <dataValidations count="3">
    <dataValidation type="list" allowBlank="1" showInputMessage="1" showErrorMessage="1" sqref="P6">
      <formula1>$U$17:$U$18</formula1>
    </dataValidation>
    <dataValidation type="list" allowBlank="1" showInputMessage="1" showErrorMessage="1" sqref="M22 B21 D16 L5 P16">
      <formula1>$U$10:$V$10</formula1>
    </dataValidation>
    <dataValidation type="list" showInputMessage="1" showErrorMessage="1" sqref="F9:G9 M19:N19 L8:M8 F24:G24">
      <formula1>$V$12:$V$15</formula1>
    </dataValidation>
  </dataValidation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A1:AG68"/>
  <sheetViews>
    <sheetView zoomScale="80" zoomScaleNormal="80" workbookViewId="0">
      <selection sqref="A1:C1"/>
    </sheetView>
  </sheetViews>
  <sheetFormatPr defaultRowHeight="15"/>
  <cols>
    <col min="1" max="1" width="21" style="5" bestFit="1" customWidth="1"/>
    <col min="2" max="9" width="9.140625" style="5"/>
    <col min="10" max="11" width="9.7109375" style="5" hidden="1" customWidth="1"/>
    <col min="12" max="33" width="9.140625" style="5" hidden="1" customWidth="1"/>
    <col min="34" max="34" width="9.140625" style="5" customWidth="1"/>
    <col min="35" max="16384" width="9.140625" style="5"/>
  </cols>
  <sheetData>
    <row r="1" spans="1:27">
      <c r="A1" s="504" t="s">
        <v>207</v>
      </c>
      <c r="B1" s="504"/>
      <c r="C1" s="504"/>
      <c r="L1" s="509" t="s">
        <v>78</v>
      </c>
      <c r="M1" s="509"/>
      <c r="N1" s="508" t="s">
        <v>118</v>
      </c>
      <c r="O1" s="509"/>
      <c r="Q1" t="s">
        <v>94</v>
      </c>
      <c r="R1" t="s">
        <v>95</v>
      </c>
      <c r="W1" t="s">
        <v>94</v>
      </c>
      <c r="X1" t="s">
        <v>95</v>
      </c>
    </row>
    <row r="2" spans="1:27">
      <c r="A2" s="282" t="s">
        <v>76</v>
      </c>
      <c r="B2" s="254" t="s">
        <v>13</v>
      </c>
      <c r="C2" s="254" t="s">
        <v>14</v>
      </c>
      <c r="D2" s="254" t="s">
        <v>18</v>
      </c>
      <c r="E2" s="254" t="s">
        <v>19</v>
      </c>
      <c r="F2" s="254" t="s">
        <v>3</v>
      </c>
      <c r="G2" s="254" t="s">
        <v>4</v>
      </c>
      <c r="H2" s="254" t="s">
        <v>8</v>
      </c>
      <c r="I2" s="254" t="s">
        <v>9</v>
      </c>
      <c r="J2" s="7" t="str">
        <f>IF(M17+M18&gt;=M15+M16,L1,N1)</f>
        <v>N-S Major</v>
      </c>
      <c r="K2" s="7"/>
      <c r="L2" s="5" t="s">
        <v>13</v>
      </c>
      <c r="M2" s="5">
        <v>7</v>
      </c>
      <c r="N2" s="5" t="s">
        <v>13</v>
      </c>
      <c r="O2" s="5">
        <v>1</v>
      </c>
      <c r="Q2" s="5">
        <v>1</v>
      </c>
      <c r="R2" s="5">
        <v>50000</v>
      </c>
      <c r="W2" s="5">
        <v>1</v>
      </c>
      <c r="X2" s="5">
        <v>150000</v>
      </c>
    </row>
    <row r="3" spans="1:27">
      <c r="A3" s="5" t="s">
        <v>77</v>
      </c>
      <c r="B3" s="6">
        <f>Sheet1!N4</f>
        <v>28</v>
      </c>
      <c r="C3" s="6">
        <f>IF(Sheet1!P5=0,Sheet1!O4+Sheet1!P4,Sheet1!O4)</f>
        <v>0</v>
      </c>
      <c r="D3" s="6">
        <f>IF(Sheet1!N4=Sheet1!S4, Sheet1!S4+1,Sheet1!S4)</f>
        <v>803</v>
      </c>
      <c r="E3" s="6">
        <f>IF(Sheet1!U5=0,Sheet1!T4+Sheet1!U4,Sheet1!T4)</f>
        <v>1</v>
      </c>
      <c r="F3" s="6">
        <f>Sheet1!D4+Sheet1!W4+Sheet1!Z4</f>
        <v>15</v>
      </c>
      <c r="G3" s="6">
        <f>IF(Sheet1!F5=0,Sheet1!E4+Sheet1!F4+Sheet1!X4+Sheet1!AA4,Sheet1!E4+Sheet1!X4+Sheet1!AA4)</f>
        <v>738</v>
      </c>
      <c r="H3" s="6">
        <f>IF(Sheet1!D4+Sheet1!W4+Sheet1!Z4=Sheet1!I4+Sheet1!AC4+Sheet1!AF4,Sheet1!I4+Sheet1!AC4+Sheet1!AF4+1,Sheet1!I4+Sheet1!AC4+Sheet1!AF4)</f>
        <v>124</v>
      </c>
      <c r="I3" s="6">
        <f>IF(Sheet1!K5=0,Sheet1!J4+Sheet1!K4+Sheet1!AD4+Sheet1!AG4,Sheet1!J4+Sheet1!AD4+Sheet1!AG4)</f>
        <v>1422</v>
      </c>
      <c r="L3" s="5" t="s">
        <v>14</v>
      </c>
      <c r="M3" s="5">
        <v>4</v>
      </c>
      <c r="N3" s="5" t="s">
        <v>14</v>
      </c>
      <c r="O3" s="5">
        <v>6</v>
      </c>
      <c r="Q3" s="5">
        <v>2</v>
      </c>
      <c r="R3" s="5">
        <v>90000</v>
      </c>
      <c r="W3" s="5">
        <v>2</v>
      </c>
      <c r="X3" s="5">
        <v>300000</v>
      </c>
    </row>
    <row r="4" spans="1:27">
      <c r="A4" s="282" t="s">
        <v>83</v>
      </c>
      <c r="B4" s="254">
        <f>IF($J$2="N-S Major",M2,O2)</f>
        <v>7</v>
      </c>
      <c r="C4" s="254">
        <f>IF($J$2="N-S Major",M3,O3)</f>
        <v>4</v>
      </c>
      <c r="D4" s="254">
        <f>IF($J$2="N-S Major",M4,O4)</f>
        <v>3</v>
      </c>
      <c r="E4" s="254">
        <f>IF($J$2="N-S Major",M5,O5)</f>
        <v>8</v>
      </c>
      <c r="F4" s="254">
        <f>IF($J$2="N-S Major",M6,O6)</f>
        <v>5</v>
      </c>
      <c r="G4" s="254">
        <f>IF($J$2="N-S Major",M7,O7)</f>
        <v>2</v>
      </c>
      <c r="H4" s="254">
        <f>IF($J$2="N-S Major",M8,O8)</f>
        <v>1</v>
      </c>
      <c r="I4" s="254">
        <f>IF($J$2="N-S Major",M9,O9)</f>
        <v>6</v>
      </c>
      <c r="L4" s="5" t="s">
        <v>18</v>
      </c>
      <c r="M4" s="5">
        <v>3</v>
      </c>
      <c r="N4" s="5" t="s">
        <v>18</v>
      </c>
      <c r="O4" s="5">
        <v>5</v>
      </c>
      <c r="Q4" s="5">
        <v>3</v>
      </c>
      <c r="R4" s="5">
        <v>110000</v>
      </c>
      <c r="W4" s="5">
        <v>3</v>
      </c>
      <c r="X4" s="5">
        <v>300000</v>
      </c>
    </row>
    <row r="5" spans="1:27">
      <c r="A5" s="5" t="s">
        <v>100</v>
      </c>
      <c r="B5" s="87">
        <f>IF(B6=0,0,B4)</f>
        <v>7</v>
      </c>
      <c r="C5" s="87">
        <f>IF(AND(B6=0,C6=0),0,C4)</f>
        <v>4</v>
      </c>
      <c r="D5" s="87">
        <f>IF(D6=0,0,D4)</f>
        <v>3</v>
      </c>
      <c r="E5" s="87">
        <f>IF(AND(D6=0,E6=0),0,E4)</f>
        <v>8</v>
      </c>
      <c r="F5" s="87">
        <f>IF(F6=0,0,F4)</f>
        <v>5</v>
      </c>
      <c r="G5" s="87">
        <f>IF(AND(F6=0,G6=0),0,G4)</f>
        <v>2</v>
      </c>
      <c r="H5" s="87">
        <f>IF(H6=0,0,H4)</f>
        <v>1</v>
      </c>
      <c r="I5" s="87">
        <f>IF(AND(H6=0,I6=0),0,I4)</f>
        <v>6</v>
      </c>
      <c r="L5" s="5" t="s">
        <v>19</v>
      </c>
      <c r="M5" s="5">
        <v>8</v>
      </c>
      <c r="N5" s="5" t="s">
        <v>19</v>
      </c>
      <c r="O5" s="5">
        <v>2</v>
      </c>
    </row>
    <row r="6" spans="1:27">
      <c r="A6" s="282" t="s">
        <v>82</v>
      </c>
      <c r="B6" s="254">
        <f>Sheet1!N5</f>
        <v>1</v>
      </c>
      <c r="C6" s="254">
        <f>Sheet1!O5</f>
        <v>2</v>
      </c>
      <c r="D6" s="254">
        <f>Sheet1!S5</f>
        <v>1</v>
      </c>
      <c r="E6" s="254">
        <f>Sheet1!T5</f>
        <v>3</v>
      </c>
      <c r="F6" s="254">
        <f>Sheet1!D5+Sheet1!W5+Sheet1!Z5</f>
        <v>1</v>
      </c>
      <c r="G6" s="254">
        <f>Sheet1!E5+Sheet1!X5+Sheet1!AA5</f>
        <v>3</v>
      </c>
      <c r="H6" s="254">
        <f>Sheet1!I5+Sheet1!AC5+Sheet1!AF5</f>
        <v>1</v>
      </c>
      <c r="I6" s="254">
        <f>Sheet1!J5+Sheet1!AD5+Sheet1!AG5</f>
        <v>3</v>
      </c>
      <c r="L6" s="5" t="s">
        <v>3</v>
      </c>
      <c r="M6" s="5">
        <v>5</v>
      </c>
      <c r="N6" s="5" t="s">
        <v>3</v>
      </c>
      <c r="O6" s="5">
        <v>7</v>
      </c>
      <c r="R6" s="6" t="s">
        <v>13</v>
      </c>
      <c r="S6" s="6" t="s">
        <v>18</v>
      </c>
      <c r="T6" s="6" t="s">
        <v>3</v>
      </c>
      <c r="U6" s="6" t="s">
        <v>8</v>
      </c>
      <c r="X6" s="6" t="s">
        <v>13</v>
      </c>
      <c r="Y6" s="6" t="s">
        <v>18</v>
      </c>
      <c r="Z6" s="6" t="s">
        <v>3</v>
      </c>
      <c r="AA6" s="6" t="s">
        <v>8</v>
      </c>
    </row>
    <row r="7" spans="1:27">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4</v>
      </c>
      <c r="Q7" s="5" t="s">
        <v>91</v>
      </c>
      <c r="R7" s="6">
        <f>E6</f>
        <v>3</v>
      </c>
      <c r="S7" s="6">
        <f>C6</f>
        <v>2</v>
      </c>
      <c r="T7" s="6">
        <f>I6</f>
        <v>3</v>
      </c>
      <c r="U7" s="6">
        <f>G6</f>
        <v>3</v>
      </c>
      <c r="W7" s="5" t="s">
        <v>91</v>
      </c>
      <c r="X7" s="6">
        <f t="shared" ref="X7:AA8" si="0">R7</f>
        <v>3</v>
      </c>
      <c r="Y7" s="6">
        <f t="shared" si="0"/>
        <v>2</v>
      </c>
      <c r="Z7" s="6">
        <f t="shared" si="0"/>
        <v>3</v>
      </c>
      <c r="AA7" s="6">
        <f t="shared" si="0"/>
        <v>3</v>
      </c>
    </row>
    <row r="8" spans="1:27">
      <c r="A8" s="283" t="s">
        <v>299</v>
      </c>
      <c r="B8" s="282"/>
      <c r="C8" s="254">
        <f>Phasing_calc!P6</f>
        <v>25</v>
      </c>
      <c r="D8" s="254"/>
      <c r="E8" s="254">
        <f>Phasing_calc!R6</f>
        <v>30</v>
      </c>
      <c r="F8" s="254"/>
      <c r="G8" s="254">
        <f>Phasing_calc!T6</f>
        <v>40</v>
      </c>
      <c r="H8" s="254"/>
      <c r="I8" s="254">
        <f>Phasing_calc!V6</f>
        <v>40</v>
      </c>
      <c r="L8" s="5" t="s">
        <v>8</v>
      </c>
      <c r="M8" s="5">
        <v>1</v>
      </c>
      <c r="N8" s="5" t="s">
        <v>8</v>
      </c>
      <c r="O8" s="5">
        <v>3</v>
      </c>
      <c r="Q8" s="5" t="s">
        <v>95</v>
      </c>
      <c r="R8" s="6">
        <f>B3*E3</f>
        <v>28</v>
      </c>
      <c r="S8" s="6">
        <f>D3*C3</f>
        <v>0</v>
      </c>
      <c r="T8" s="6">
        <f>F3*I3</f>
        <v>21330</v>
      </c>
      <c r="U8" s="6">
        <f>H3*G3</f>
        <v>91512</v>
      </c>
      <c r="W8" s="5" t="s">
        <v>95</v>
      </c>
      <c r="X8" s="6">
        <f t="shared" si="0"/>
        <v>28</v>
      </c>
      <c r="Y8" s="6">
        <f t="shared" si="0"/>
        <v>0</v>
      </c>
      <c r="Z8" s="6">
        <f t="shared" si="0"/>
        <v>21330</v>
      </c>
      <c r="AA8" s="6">
        <f t="shared" si="0"/>
        <v>91512</v>
      </c>
    </row>
    <row r="9" spans="1:27">
      <c r="B9" s="81"/>
      <c r="C9" s="81"/>
      <c r="D9" s="81"/>
      <c r="E9" s="81"/>
      <c r="F9" s="81"/>
      <c r="G9" s="81"/>
      <c r="H9" s="81"/>
      <c r="I9" s="81"/>
      <c r="L9" s="5" t="s">
        <v>9</v>
      </c>
      <c r="M9" s="5">
        <v>6</v>
      </c>
      <c r="N9" s="5" t="s">
        <v>9</v>
      </c>
      <c r="O9" s="5">
        <v>8</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c r="A10" s="282" t="s">
        <v>89</v>
      </c>
      <c r="B10" s="254" t="s">
        <v>13</v>
      </c>
      <c r="C10" s="254"/>
      <c r="D10" s="254" t="s">
        <v>18</v>
      </c>
      <c r="E10" s="254"/>
      <c r="F10" s="254" t="s">
        <v>3</v>
      </c>
      <c r="G10" s="254"/>
      <c r="H10" s="254" t="s">
        <v>8</v>
      </c>
      <c r="I10" s="87"/>
      <c r="Q10" s="6">
        <v>2</v>
      </c>
      <c r="R10" s="6">
        <f>IF(AND(R7=2,R8&gt;=100000),1,0)</f>
        <v>0</v>
      </c>
      <c r="S10" s="6">
        <f>IF(AND(S7=2,S8&gt;=100000),1,0)</f>
        <v>0</v>
      </c>
      <c r="T10" s="6">
        <f>IF(AND(T7=2,T8&gt;=100000),1,0)</f>
        <v>0</v>
      </c>
      <c r="U10" s="6">
        <f>IF(AND(U7=2,U8&gt;=100000),1,0)</f>
        <v>0</v>
      </c>
      <c r="W10" s="6">
        <v>2</v>
      </c>
      <c r="X10" s="6">
        <f>IF(AND(X7=2,X8&gt;=300000),1,0)</f>
        <v>0</v>
      </c>
      <c r="Y10" s="6">
        <f>IF(AND(Y7=2,Y8&gt;=300000),1,0)</f>
        <v>0</v>
      </c>
      <c r="Z10" s="6">
        <f>IF(AND(Z7=2,Z8&gt;=300000),1,0)</f>
        <v>0</v>
      </c>
      <c r="AA10" s="6">
        <f>IF(AND(AA7=2,AA8&gt;=300000),1,0)</f>
        <v>0</v>
      </c>
    </row>
    <row r="11" spans="1:27" ht="15" customHeight="1">
      <c r="A11" s="5" t="s">
        <v>90</v>
      </c>
      <c r="B11" s="87">
        <f>IF(B6&gt;=2,1,0)</f>
        <v>0</v>
      </c>
      <c r="C11" s="87"/>
      <c r="D11" s="87">
        <f>IF(D6&gt;=2,1,0)</f>
        <v>0</v>
      </c>
      <c r="E11" s="87"/>
      <c r="F11" s="87">
        <f>IF(F6&gt;=2,1,0)</f>
        <v>0</v>
      </c>
      <c r="G11" s="87"/>
      <c r="H11" s="87">
        <f>IF(H6&gt;=2,1,0)</f>
        <v>0</v>
      </c>
      <c r="I11" s="511" t="s">
        <v>93</v>
      </c>
      <c r="L11" s="5" t="s">
        <v>15</v>
      </c>
      <c r="M11" s="5">
        <f>Sheet1!P4</f>
        <v>97</v>
      </c>
      <c r="N11" s="5">
        <v>1</v>
      </c>
      <c r="O11" t="s">
        <v>85</v>
      </c>
      <c r="Q11" s="6">
        <v>3</v>
      </c>
      <c r="R11" s="6">
        <f>IF(AND(R7=3,R8&gt;=100000),1,0)</f>
        <v>0</v>
      </c>
      <c r="S11" s="6">
        <f>IF(AND(S7=3,S8&gt;=100000),1,0)</f>
        <v>0</v>
      </c>
      <c r="T11" s="6">
        <f>IF(AND(T7=3,T8&gt;=100000),1,0)</f>
        <v>0</v>
      </c>
      <c r="U11" s="6">
        <f>IF(AND(U7=3,U8&gt;=100000),1,0)</f>
        <v>0</v>
      </c>
      <c r="W11" s="6">
        <v>3</v>
      </c>
      <c r="X11" s="6">
        <f>IF(AND(X7=3,X8&gt;=300000),1,0)</f>
        <v>0</v>
      </c>
      <c r="Y11" s="6">
        <f>IF(AND(Y7=3,Y8&gt;=300000),1,0)</f>
        <v>0</v>
      </c>
      <c r="Z11" s="6">
        <f>IF(AND(Z7=3,Z8&gt;=300000),1,0)</f>
        <v>0</v>
      </c>
      <c r="AA11" s="6">
        <f>IF(AND(AA7=3,AA8&gt;=300000),1,0)</f>
        <v>0</v>
      </c>
    </row>
    <row r="12" spans="1:27">
      <c r="A12" s="282" t="s">
        <v>91</v>
      </c>
      <c r="B12" s="254">
        <f>IF(E6&gt;=4,1,0)</f>
        <v>0</v>
      </c>
      <c r="C12" s="254"/>
      <c r="D12" s="254">
        <f>IF(C6&gt;=4,1,0)</f>
        <v>0</v>
      </c>
      <c r="E12" s="254"/>
      <c r="F12" s="254">
        <f>IF(I6&gt;=4,1,0)</f>
        <v>0</v>
      </c>
      <c r="G12" s="254"/>
      <c r="H12" s="254">
        <f>IF(G6&gt;=4,1,0)</f>
        <v>0</v>
      </c>
      <c r="I12" s="511"/>
      <c r="J12" s="10"/>
      <c r="K12" s="10"/>
      <c r="L12" s="11" t="s">
        <v>20</v>
      </c>
      <c r="M12" s="11">
        <f>Sheet1!U4</f>
        <v>560</v>
      </c>
      <c r="N12" s="11">
        <v>2</v>
      </c>
      <c r="O12" s="11" t="s">
        <v>86</v>
      </c>
      <c r="Q12" s="4" t="s">
        <v>96</v>
      </c>
      <c r="R12" s="8">
        <f>MAX(R9:S11)</f>
        <v>0</v>
      </c>
      <c r="S12" s="8">
        <f>MAX(R9:S11)</f>
        <v>0</v>
      </c>
      <c r="T12" s="8">
        <f>MAX(T9:U11)</f>
        <v>0</v>
      </c>
      <c r="U12" s="8">
        <f>MAX(T9:U11)</f>
        <v>0</v>
      </c>
      <c r="W12" s="4" t="s">
        <v>96</v>
      </c>
      <c r="X12" s="8">
        <f>MAX(X9:X11)</f>
        <v>0</v>
      </c>
      <c r="Y12" s="8">
        <f>MAX(Y9:Y11)</f>
        <v>0</v>
      </c>
      <c r="Z12" s="8">
        <f>MAX(Z9:Z11)</f>
        <v>0</v>
      </c>
      <c r="AA12" s="8">
        <f>MAX(AA9:AA11)</f>
        <v>0</v>
      </c>
    </row>
    <row r="13" spans="1:27">
      <c r="A13" s="5" t="s">
        <v>84</v>
      </c>
      <c r="B13" s="87">
        <f>IF(E8&gt;45,1,0)</f>
        <v>0</v>
      </c>
      <c r="C13" s="87"/>
      <c r="D13" s="87">
        <f>IF(C8&gt;45,1,0)</f>
        <v>0</v>
      </c>
      <c r="E13" s="87"/>
      <c r="F13" s="87">
        <f>IF(I8&gt;45,1,0)</f>
        <v>0</v>
      </c>
      <c r="G13" s="87"/>
      <c r="H13" s="87">
        <f>IF(G8&gt;45,1,0)</f>
        <v>0</v>
      </c>
      <c r="I13" s="511"/>
      <c r="J13" s="12"/>
      <c r="K13" s="12"/>
      <c r="L13" s="11" t="s">
        <v>5</v>
      </c>
      <c r="M13" s="11">
        <f>Sheet1!F4+Sheet1!Y4+Sheet1!AB4</f>
        <v>141</v>
      </c>
      <c r="N13" s="11">
        <v>3</v>
      </c>
      <c r="O13" s="11" t="s">
        <v>87</v>
      </c>
      <c r="Q13" s="508" t="s">
        <v>97</v>
      </c>
      <c r="R13" s="508"/>
      <c r="S13" s="508"/>
      <c r="T13" s="508"/>
      <c r="U13" s="508"/>
    </row>
    <row r="14" spans="1:27">
      <c r="A14" s="282" t="s">
        <v>101</v>
      </c>
      <c r="B14" s="254">
        <f>IF(B3&gt;=240,1,0)</f>
        <v>0</v>
      </c>
      <c r="C14" s="254"/>
      <c r="D14" s="254">
        <f>IF(D3&gt;=240,1,0)</f>
        <v>1</v>
      </c>
      <c r="E14" s="254"/>
      <c r="F14" s="254">
        <f>IF(F3&gt;=240,1,0)</f>
        <v>0</v>
      </c>
      <c r="G14" s="254"/>
      <c r="H14" s="254">
        <f>IF(H3&gt;=240,1,0)</f>
        <v>0</v>
      </c>
      <c r="I14" s="511"/>
      <c r="J14" s="93"/>
      <c r="K14" s="93"/>
      <c r="L14" s="11" t="s">
        <v>10</v>
      </c>
      <c r="M14" s="11">
        <f>Sheet1!K4+Sheet1!AE4+Sheet1!AH4</f>
        <v>23</v>
      </c>
      <c r="N14" s="56">
        <v>2</v>
      </c>
      <c r="O14" s="86" t="s">
        <v>88</v>
      </c>
      <c r="Q14" s="2"/>
      <c r="R14" s="2"/>
      <c r="S14" s="2"/>
      <c r="T14" s="2"/>
      <c r="U14" s="2"/>
    </row>
    <row r="15" spans="1:27">
      <c r="A15" s="10" t="s">
        <v>102</v>
      </c>
      <c r="B15" s="87">
        <f>X12</f>
        <v>0</v>
      </c>
      <c r="C15" s="87"/>
      <c r="D15" s="87">
        <f>Y12</f>
        <v>0</v>
      </c>
      <c r="E15" s="87"/>
      <c r="F15" s="87">
        <f>Z12</f>
        <v>0</v>
      </c>
      <c r="G15" s="87"/>
      <c r="H15" s="87">
        <f>AA12</f>
        <v>0</v>
      </c>
      <c r="I15" s="511"/>
      <c r="J15" s="93"/>
      <c r="K15" s="510" t="s">
        <v>455</v>
      </c>
      <c r="L15" s="11" t="s">
        <v>420</v>
      </c>
      <c r="M15" s="11">
        <f>B3+C3+M11</f>
        <v>125</v>
      </c>
      <c r="N15" s="11"/>
      <c r="O15" s="11"/>
      <c r="Q15" s="2"/>
      <c r="R15" s="2"/>
      <c r="S15" s="2"/>
      <c r="T15" s="2"/>
      <c r="U15" s="2"/>
    </row>
    <row r="16" spans="1:27">
      <c r="A16" s="283" t="s">
        <v>103</v>
      </c>
      <c r="B16" s="254">
        <f>IF(D3+E3=0,0,IF(AND(B14=1, SUM(B11:B13)=0),3,MAX(B11:B13)))</f>
        <v>0</v>
      </c>
      <c r="C16" s="254"/>
      <c r="D16" s="254">
        <f>IF(B3+C3=0,0,IF(AND(D14=1, SUM(D11:D13)=0),3,MAX(D11:D13)))</f>
        <v>3</v>
      </c>
      <c r="E16" s="254"/>
      <c r="F16" s="254">
        <f>IF(H3+I3=0,0,IF(AND(F14=1, SUM(F11:F13)=0),3,MAX(F11:F13)))</f>
        <v>0</v>
      </c>
      <c r="G16" s="254"/>
      <c r="H16" s="254">
        <f>IF(F3+G3=0,0,IF(AND(H14=1, SUM(H11:H13)=0),3,MAX(H11:H13)))</f>
        <v>0</v>
      </c>
      <c r="I16" s="279"/>
      <c r="J16" s="12"/>
      <c r="K16" s="510"/>
      <c r="L16" s="11" t="s">
        <v>421</v>
      </c>
      <c r="M16" s="11">
        <f>D3+E3+M12</f>
        <v>1364</v>
      </c>
      <c r="N16" s="11"/>
      <c r="O16" s="11"/>
      <c r="P16" s="512" t="s">
        <v>111</v>
      </c>
      <c r="Q16" s="513"/>
      <c r="R16" s="513"/>
      <c r="S16" s="513"/>
      <c r="T16" s="513"/>
      <c r="U16" s="2"/>
    </row>
    <row r="17" spans="1:24">
      <c r="A17" s="39" t="s">
        <v>95</v>
      </c>
      <c r="B17" s="280">
        <f>IF(OR(D16=3,R12=1),3,2)</f>
        <v>3</v>
      </c>
      <c r="C17" s="280"/>
      <c r="D17" s="280">
        <f>IF(OR(B16=3,S12=1),3,2)</f>
        <v>2</v>
      </c>
      <c r="E17" s="280"/>
      <c r="F17" s="280">
        <f>IF(OR(H16=3,T12=1),3,2)</f>
        <v>2</v>
      </c>
      <c r="G17" s="280"/>
      <c r="H17" s="280">
        <f>IF(OR(F16=3,U12=1),3,2)</f>
        <v>2</v>
      </c>
      <c r="I17" s="40" t="s">
        <v>99</v>
      </c>
      <c r="J17" s="16"/>
      <c r="K17" s="510"/>
      <c r="L17" s="15" t="s">
        <v>422</v>
      </c>
      <c r="M17" s="15">
        <f>F3+G3+M13</f>
        <v>894</v>
      </c>
      <c r="N17" s="17"/>
      <c r="O17" s="11"/>
      <c r="P17" s="15"/>
      <c r="Q17" s="505" t="s">
        <v>110</v>
      </c>
      <c r="R17" s="505"/>
      <c r="S17" s="505"/>
      <c r="T17" s="505"/>
      <c r="U17" s="15"/>
      <c r="V17" s="15"/>
    </row>
    <row r="18" spans="1:24">
      <c r="A18" s="284" t="s">
        <v>92</v>
      </c>
      <c r="B18" s="285">
        <f>IF(OR(E7&gt;0,C7&gt;0),2,0)</f>
        <v>0</v>
      </c>
      <c r="C18" s="285"/>
      <c r="D18" s="285">
        <f>IF(OR(C7&gt;0,E7&gt;0),2,0)</f>
        <v>0</v>
      </c>
      <c r="E18" s="285"/>
      <c r="F18" s="285">
        <f>IF(OR(I7&gt;0,G7&gt;0),2,0)</f>
        <v>0</v>
      </c>
      <c r="G18" s="285"/>
      <c r="H18" s="285">
        <f>IF(OR(G7&gt;0,I7&gt;0),2,0)</f>
        <v>0</v>
      </c>
      <c r="I18" s="38" t="s">
        <v>98</v>
      </c>
      <c r="J18" s="14"/>
      <c r="K18" s="510"/>
      <c r="L18" s="15" t="s">
        <v>423</v>
      </c>
      <c r="M18" s="15">
        <f>H3+I3+M14</f>
        <v>1569</v>
      </c>
      <c r="N18" s="20"/>
      <c r="O18" s="11"/>
      <c r="P18" t="s">
        <v>108</v>
      </c>
      <c r="Q18" s="49">
        <v>1</v>
      </c>
      <c r="R18" s="50">
        <v>2</v>
      </c>
      <c r="S18" s="6">
        <v>3</v>
      </c>
      <c r="T18" s="6">
        <v>4</v>
      </c>
      <c r="V18" s="15"/>
    </row>
    <row r="19" spans="1:24" s="41" customFormat="1">
      <c r="A19" s="46" t="s">
        <v>100</v>
      </c>
      <c r="B19" s="281">
        <f>IF(E5=0,2,0)</f>
        <v>0</v>
      </c>
      <c r="C19" s="281"/>
      <c r="D19" s="281">
        <f>IF(C5=0,2,0)</f>
        <v>0</v>
      </c>
      <c r="E19" s="281"/>
      <c r="F19" s="281">
        <f>IF(I5=0,2,0)</f>
        <v>0</v>
      </c>
      <c r="G19" s="281"/>
      <c r="H19" s="281">
        <f>IF(G5=0,2,0)</f>
        <v>0</v>
      </c>
      <c r="I19" s="38"/>
      <c r="J19" s="14"/>
      <c r="K19" s="14"/>
      <c r="L19" s="21"/>
      <c r="M19" s="21"/>
      <c r="N19" s="29"/>
      <c r="O19" s="13"/>
      <c r="P19" s="47" t="s">
        <v>109</v>
      </c>
      <c r="Q19" s="45">
        <v>5</v>
      </c>
      <c r="R19" s="51">
        <v>6</v>
      </c>
      <c r="S19" s="45">
        <v>7</v>
      </c>
      <c r="T19" s="45">
        <v>8</v>
      </c>
      <c r="V19" s="21"/>
    </row>
    <row r="20" spans="1:24">
      <c r="A20" s="42"/>
      <c r="B20" s="81"/>
      <c r="C20" s="81"/>
      <c r="D20" s="81"/>
      <c r="E20" s="81"/>
      <c r="F20" s="81"/>
      <c r="G20" s="81"/>
      <c r="H20" s="81"/>
      <c r="I20" s="21"/>
      <c r="J20" s="15"/>
      <c r="K20" s="15"/>
      <c r="L20" s="15"/>
      <c r="M20" s="15"/>
      <c r="N20" s="20"/>
      <c r="O20" s="11"/>
      <c r="V20" s="15"/>
    </row>
    <row r="21" spans="1:24">
      <c r="A21" s="286" t="s">
        <v>107</v>
      </c>
      <c r="B21" s="254">
        <f>IF(AND(B16=1,B18=0),1,MAX(B16:B18))</f>
        <v>3</v>
      </c>
      <c r="C21" s="254"/>
      <c r="D21" s="254">
        <f>IF(AND(D16=1,D18=0),1,MAX(D16:D18))</f>
        <v>3</v>
      </c>
      <c r="E21" s="254"/>
      <c r="F21" s="254">
        <f>IF(AND(F16=1,F18=0),1,MAX(F16:F18))</f>
        <v>2</v>
      </c>
      <c r="G21" s="254"/>
      <c r="H21" s="254">
        <f>IF(AND(H16=1,H18=0),1,MAX(H16:H18))</f>
        <v>2</v>
      </c>
      <c r="I21" s="16"/>
      <c r="J21" s="15"/>
      <c r="K21" s="20" t="s">
        <v>13</v>
      </c>
      <c r="L21" s="20" t="s">
        <v>18</v>
      </c>
      <c r="M21" s="20" t="s">
        <v>3</v>
      </c>
      <c r="N21" s="20" t="s">
        <v>8</v>
      </c>
      <c r="O21" s="11"/>
      <c r="Q21" s="508" t="s">
        <v>112</v>
      </c>
      <c r="R21" s="508"/>
      <c r="S21" s="48"/>
      <c r="T21" s="48"/>
      <c r="V21" s="15"/>
    </row>
    <row r="22" spans="1:24">
      <c r="A22" s="47" t="s">
        <v>104</v>
      </c>
      <c r="B22" s="87">
        <f>IF('Input sheet'!$B$21="Yes",'Phase designation'!K23,'Phase designation'!K22)</f>
        <v>3</v>
      </c>
      <c r="C22" s="87"/>
      <c r="D22" s="87">
        <f>IF('Input sheet'!$B$21="Yes",'Phase designation'!L23,'Phase designation'!L22)</f>
        <v>3</v>
      </c>
      <c r="E22" s="87"/>
      <c r="F22" s="87">
        <f>IF('Input sheet'!$B$21="Yes",'Phase designation'!M23,'Phase designation'!M22)</f>
        <v>2</v>
      </c>
      <c r="G22" s="87"/>
      <c r="H22" s="87">
        <f>IF('Input sheet'!$B$21="Yes",'Phase designation'!N23,'Phase designation'!N22)</f>
        <v>2</v>
      </c>
      <c r="I22" s="16"/>
      <c r="J22" s="15" t="s">
        <v>312</v>
      </c>
      <c r="K22" s="20">
        <f>IF(B19=0,B21,B19)</f>
        <v>3</v>
      </c>
      <c r="L22" s="20">
        <f>IF(D19=0,D21,D19)</f>
        <v>3</v>
      </c>
      <c r="M22" s="20">
        <f>IF(F19=0,F21,F19)</f>
        <v>2</v>
      </c>
      <c r="N22" s="20">
        <f>IF(H19=0,H21,H19)</f>
        <v>2</v>
      </c>
      <c r="O22" s="11"/>
      <c r="P22" t="s">
        <v>108</v>
      </c>
      <c r="Q22" s="50">
        <v>2</v>
      </c>
      <c r="R22" s="49">
        <v>4</v>
      </c>
      <c r="S22" s="6"/>
      <c r="T22" s="6"/>
      <c r="V22" s="15"/>
    </row>
    <row r="23" spans="1:24" s="42" customFormat="1">
      <c r="A23" s="287"/>
      <c r="B23" s="287" t="str">
        <f>LOOKUP(B22,$N$11:$N$14,$O$11:$O$14)</f>
        <v>Prot+perm</v>
      </c>
      <c r="C23" s="287"/>
      <c r="D23" s="287" t="str">
        <f>LOOKUP(D22,$N$11:$N$14,$O$11:$O$14)</f>
        <v>Prot+perm</v>
      </c>
      <c r="E23" s="287"/>
      <c r="F23" s="287" t="str">
        <f>LOOKUP(F22,$N$11:$N$14,$O$11:$O$14)</f>
        <v>Permitted</v>
      </c>
      <c r="G23" s="287"/>
      <c r="H23" s="287" t="str">
        <f>LOOKUP(H22,$N$11:$N$14,$O$11:$O$14)</f>
        <v>Permitted</v>
      </c>
      <c r="I23" s="21"/>
      <c r="J23" s="22" t="s">
        <v>313</v>
      </c>
      <c r="K23" s="19">
        <f>IF('Input sheet'!F10=0,K22,'Input sheet'!F10)</f>
        <v>3</v>
      </c>
      <c r="L23" s="19">
        <f>IF('Input sheet'!M20=0,L22,'Input sheet'!M20)</f>
        <v>3</v>
      </c>
      <c r="M23" s="19">
        <f>IF('Input sheet'!F25=0,M22,'Input sheet'!F25)</f>
        <v>2</v>
      </c>
      <c r="N23" s="19">
        <f>IF('Input sheet'!L9=0,N22,'Input sheet'!L9)</f>
        <v>2</v>
      </c>
      <c r="O23" s="26"/>
      <c r="P23" s="47" t="s">
        <v>109</v>
      </c>
      <c r="Q23" s="51">
        <v>6</v>
      </c>
      <c r="R23" s="45">
        <v>8</v>
      </c>
      <c r="S23" s="45"/>
      <c r="T23" s="45"/>
      <c r="V23" s="15"/>
    </row>
    <row r="24" spans="1:24" s="42" customFormat="1">
      <c r="B24" s="41"/>
      <c r="C24" s="21"/>
      <c r="D24" s="21"/>
      <c r="E24" s="105"/>
      <c r="F24" s="21"/>
      <c r="G24" s="21"/>
      <c r="H24" s="21"/>
      <c r="I24" s="21"/>
      <c r="J24" s="22"/>
      <c r="K24" s="22"/>
      <c r="L24" s="18"/>
      <c r="M24" s="68"/>
      <c r="N24" s="19"/>
      <c r="O24" s="13"/>
      <c r="V24" s="15"/>
    </row>
    <row r="25" spans="1:24">
      <c r="B25" s="81"/>
      <c r="C25" s="81"/>
      <c r="D25" s="81"/>
      <c r="E25" s="81"/>
      <c r="F25" s="81"/>
      <c r="G25" s="81"/>
      <c r="H25" s="81"/>
      <c r="I25" s="81"/>
      <c r="L25" s="18"/>
      <c r="M25" s="68"/>
      <c r="N25" s="20"/>
      <c r="O25" s="14"/>
      <c r="Q25" s="508" t="s">
        <v>114</v>
      </c>
      <c r="R25" s="508"/>
      <c r="S25" s="508"/>
      <c r="V25" s="22"/>
    </row>
    <row r="26" spans="1:24">
      <c r="A26" s="288" t="s">
        <v>76</v>
      </c>
      <c r="B26" s="259" t="s">
        <v>13</v>
      </c>
      <c r="C26" s="259" t="s">
        <v>14</v>
      </c>
      <c r="D26" s="259" t="s">
        <v>18</v>
      </c>
      <c r="E26" s="259" t="s">
        <v>19</v>
      </c>
      <c r="F26" s="259" t="s">
        <v>3</v>
      </c>
      <c r="G26" s="259" t="s">
        <v>4</v>
      </c>
      <c r="H26" s="259" t="s">
        <v>8</v>
      </c>
      <c r="I26" s="259" t="s">
        <v>9</v>
      </c>
      <c r="L26" s="18"/>
      <c r="M26" s="68"/>
      <c r="N26" s="20"/>
      <c r="O26" s="13"/>
      <c r="P26" t="s">
        <v>108</v>
      </c>
      <c r="Q26" s="50">
        <v>2</v>
      </c>
      <c r="R26" s="52">
        <v>4</v>
      </c>
      <c r="U26" t="s">
        <v>108</v>
      </c>
      <c r="V26" s="54" t="str">
        <f>IF(AND(D22&lt;&gt;4,F22=4),Q26,"")</f>
        <v/>
      </c>
      <c r="W26" s="52" t="str">
        <f>IF(AND(D22&lt;&gt;4,F22=4),R26,"")</f>
        <v/>
      </c>
      <c r="X26" s="6"/>
    </row>
    <row r="27" spans="1:24">
      <c r="A27" s="43" t="s">
        <v>105</v>
      </c>
      <c r="B27" s="158">
        <f>IF(OR(B22=1,B22=3),B5,0)</f>
        <v>7</v>
      </c>
      <c r="C27" s="158">
        <f>C5</f>
        <v>4</v>
      </c>
      <c r="D27" s="158">
        <f>IF(OR(D22=1,D22=3),D5,0)</f>
        <v>3</v>
      </c>
      <c r="E27" s="158">
        <f>E5</f>
        <v>8</v>
      </c>
      <c r="F27" s="158">
        <f>IF(OR(F22=1,F22=3),F5,0)</f>
        <v>0</v>
      </c>
      <c r="G27" s="158">
        <f>G5</f>
        <v>2</v>
      </c>
      <c r="H27" s="158">
        <f>IF(OR(H22=1,H22=3),H5,0)</f>
        <v>0</v>
      </c>
      <c r="I27" s="158">
        <f>I5</f>
        <v>6</v>
      </c>
      <c r="L27" s="18"/>
      <c r="M27" s="68"/>
      <c r="N27" s="20"/>
      <c r="O27" s="13"/>
      <c r="P27" s="47" t="s">
        <v>109</v>
      </c>
      <c r="Q27" s="51">
        <v>6</v>
      </c>
      <c r="R27" s="53"/>
      <c r="S27" s="6">
        <v>8</v>
      </c>
      <c r="U27" s="47" t="s">
        <v>109</v>
      </c>
      <c r="V27" s="54" t="str">
        <f>IF(AND(D22&lt;&gt;4,F22=4),Q27,"")</f>
        <v/>
      </c>
      <c r="W27" s="52"/>
      <c r="X27" s="6" t="str">
        <f>IF(AND(D22&lt;&gt;4,F22=4),S27,"")</f>
        <v/>
      </c>
    </row>
    <row r="28" spans="1:24">
      <c r="A28" s="288" t="s">
        <v>106</v>
      </c>
      <c r="B28" s="259">
        <f>IF(OR(B22=2,B22=3,B22=4),C27,0)</f>
        <v>4</v>
      </c>
      <c r="C28" s="259"/>
      <c r="D28" s="259">
        <f>IF(OR(D22=2,D22=3,D22=4),E27,0)</f>
        <v>8</v>
      </c>
      <c r="E28" s="259"/>
      <c r="F28" s="259">
        <f>IF(OR(F22=2,F22=3,F22=4),G27,0)</f>
        <v>2</v>
      </c>
      <c r="G28" s="259"/>
      <c r="H28" s="259">
        <f>IF(OR(H22=2,H22=3,H22=4),I27,0)</f>
        <v>6</v>
      </c>
      <c r="I28" s="259"/>
      <c r="L28" s="22"/>
      <c r="M28" s="22"/>
      <c r="N28" s="20"/>
      <c r="O28" s="23"/>
      <c r="V28" s="10"/>
    </row>
    <row r="29" spans="1:24">
      <c r="L29" s="19"/>
      <c r="M29" s="19"/>
      <c r="N29" s="20"/>
      <c r="O29" s="14"/>
      <c r="P29" t="s">
        <v>108</v>
      </c>
      <c r="Q29" s="50">
        <v>2</v>
      </c>
      <c r="R29" s="52"/>
      <c r="S29" s="6">
        <v>4</v>
      </c>
      <c r="U29" t="s">
        <v>108</v>
      </c>
      <c r="V29" s="50" t="str">
        <f>IF(AND(D22=4,F22&lt;&gt;4),Q29,"")</f>
        <v/>
      </c>
      <c r="W29" s="52"/>
      <c r="X29" s="6" t="str">
        <f>IF(AND(D22=4,F22&lt;&gt;4),S29,"")</f>
        <v/>
      </c>
    </row>
    <row r="30" spans="1:24">
      <c r="D30" s="8">
        <f>I27</f>
        <v>6</v>
      </c>
      <c r="E30" s="8" t="str">
        <f>H27&amp;"  "&amp;H28</f>
        <v>0  6</v>
      </c>
      <c r="L30" s="16"/>
      <c r="M30" s="16"/>
      <c r="N30" s="25"/>
      <c r="O30" s="11"/>
      <c r="P30" s="47" t="s">
        <v>109</v>
      </c>
      <c r="Q30" s="51"/>
      <c r="R30" s="53">
        <v>6</v>
      </c>
      <c r="S30" s="6">
        <v>8</v>
      </c>
      <c r="U30" s="47" t="s">
        <v>109</v>
      </c>
      <c r="V30" s="51"/>
      <c r="W30" s="53" t="str">
        <f>IF(AND(D22=4,F22&lt;&gt;4),R30,"")</f>
        <v/>
      </c>
      <c r="X30" s="6" t="str">
        <f>IF(AND(D22=4,F22&lt;&gt;4),S30,"")</f>
        <v/>
      </c>
    </row>
    <row r="31" spans="1:24">
      <c r="L31" s="28"/>
      <c r="M31" s="28"/>
      <c r="N31" s="29"/>
      <c r="O31" s="11"/>
    </row>
    <row r="32" spans="1:24">
      <c r="H32" s="17" t="s">
        <v>79</v>
      </c>
      <c r="L32" s="10"/>
      <c r="M32" s="10"/>
      <c r="N32" s="10"/>
      <c r="O32" s="11"/>
      <c r="P32" t="s">
        <v>108</v>
      </c>
      <c r="Q32" s="50">
        <v>2</v>
      </c>
      <c r="R32" s="52"/>
      <c r="S32" s="52">
        <v>4</v>
      </c>
      <c r="U32" t="s">
        <v>108</v>
      </c>
      <c r="V32" s="50" t="str">
        <f>IF(AND(D22=4,F22=4),Q32,"")</f>
        <v/>
      </c>
      <c r="W32" s="52"/>
      <c r="X32" s="52" t="str">
        <f>IF(AND(D22=4,F22=4),S32,"")</f>
        <v/>
      </c>
    </row>
    <row r="33" spans="2:33">
      <c r="J33" s="16"/>
      <c r="K33" s="16"/>
      <c r="L33" s="84"/>
      <c r="M33" s="84"/>
      <c r="N33" s="84"/>
      <c r="O33" s="84"/>
      <c r="P33" s="47" t="s">
        <v>109</v>
      </c>
      <c r="Q33" s="51"/>
      <c r="R33" s="53">
        <v>6</v>
      </c>
      <c r="S33" s="52"/>
      <c r="T33" s="6">
        <v>8</v>
      </c>
      <c r="U33" s="47" t="s">
        <v>109</v>
      </c>
      <c r="V33" s="51"/>
      <c r="W33" s="53" t="str">
        <f>IF(AND(D22=4,F22=4),R33,"")</f>
        <v/>
      </c>
      <c r="X33" s="52"/>
      <c r="Y33" s="6" t="str">
        <f>IF(AND(D22=4,F22=4),T33,"")</f>
        <v/>
      </c>
    </row>
    <row r="34" spans="2:33">
      <c r="J34" s="55"/>
      <c r="K34" s="503" t="s">
        <v>116</v>
      </c>
      <c r="L34" s="503"/>
      <c r="M34" s="503"/>
      <c r="N34" s="503"/>
      <c r="O34" s="82"/>
    </row>
    <row r="35" spans="2:33">
      <c r="B35" s="44" t="str">
        <f>B27&amp;"  "&amp;B28</f>
        <v>7  4</v>
      </c>
      <c r="G35" s="9">
        <f>E27</f>
        <v>8</v>
      </c>
      <c r="J35" s="56"/>
      <c r="K35" s="57" t="str">
        <f>IF($U$41=0,"b","")</f>
        <v/>
      </c>
      <c r="L35" s="57" t="str">
        <f>IF(OR($U$41=0,$U$41=1),"b","")</f>
        <v>b</v>
      </c>
      <c r="M35" s="57" t="str">
        <f>IF($U$41=0,"b","")</f>
        <v/>
      </c>
      <c r="N35" s="58"/>
      <c r="O35" s="77"/>
      <c r="P35" s="42"/>
      <c r="Q35" s="42"/>
    </row>
    <row r="36" spans="2:33">
      <c r="C36" s="11"/>
      <c r="D36" s="11"/>
      <c r="E36" s="11"/>
      <c r="F36" s="11"/>
      <c r="G36" s="24"/>
      <c r="H36" s="10"/>
      <c r="J36" s="59" t="s">
        <v>108</v>
      </c>
      <c r="K36" s="60">
        <f t="shared" ref="K36:N37" si="1">IF($U$41=1,Q41,Q45)</f>
        <v>0</v>
      </c>
      <c r="L36" s="60">
        <f t="shared" si="1"/>
        <v>2</v>
      </c>
      <c r="M36" s="60">
        <f t="shared" si="1"/>
        <v>3</v>
      </c>
      <c r="N36" s="60">
        <f t="shared" si="1"/>
        <v>4</v>
      </c>
      <c r="O36" s="77"/>
      <c r="P36" s="42"/>
      <c r="Q36" s="42"/>
      <c r="U36" t="s">
        <v>108</v>
      </c>
      <c r="V36" s="50">
        <f t="shared" ref="V36:Y37" si="2">MAX(V26,V29,V32)</f>
        <v>0</v>
      </c>
      <c r="W36" s="50">
        <f t="shared" si="2"/>
        <v>0</v>
      </c>
      <c r="X36" s="50">
        <f t="shared" si="2"/>
        <v>0</v>
      </c>
      <c r="Y36" s="50">
        <f t="shared" si="2"/>
        <v>0</v>
      </c>
    </row>
    <row r="37" spans="2:33">
      <c r="B37" s="7">
        <f>C27</f>
        <v>4</v>
      </c>
      <c r="C37" s="26"/>
      <c r="D37" s="11"/>
      <c r="E37" s="11"/>
      <c r="F37" s="11"/>
      <c r="G37" s="27" t="str">
        <f>D27&amp;"  "&amp;D28</f>
        <v>3  8</v>
      </c>
      <c r="H37" s="10"/>
      <c r="J37" s="61" t="s">
        <v>109</v>
      </c>
      <c r="K37" s="60">
        <f t="shared" si="1"/>
        <v>0</v>
      </c>
      <c r="L37" s="60">
        <f t="shared" si="1"/>
        <v>6</v>
      </c>
      <c r="M37" s="60">
        <f t="shared" si="1"/>
        <v>7</v>
      </c>
      <c r="N37" s="60">
        <f t="shared" si="1"/>
        <v>8</v>
      </c>
      <c r="O37" s="81"/>
      <c r="P37" s="42"/>
      <c r="Q37" s="42"/>
      <c r="U37" s="47" t="s">
        <v>109</v>
      </c>
      <c r="V37" s="50">
        <f t="shared" si="2"/>
        <v>0</v>
      </c>
      <c r="W37" s="50">
        <f t="shared" si="2"/>
        <v>0</v>
      </c>
      <c r="X37" s="50">
        <f t="shared" si="2"/>
        <v>0</v>
      </c>
      <c r="Y37" s="50">
        <f t="shared" si="2"/>
        <v>0</v>
      </c>
    </row>
    <row r="38" spans="2:33">
      <c r="C38" s="30"/>
      <c r="D38" s="15"/>
      <c r="E38" s="15"/>
      <c r="F38" s="15"/>
      <c r="G38" s="26"/>
      <c r="H38" s="14"/>
      <c r="P38" s="42"/>
      <c r="Q38" s="42"/>
    </row>
    <row r="39" spans="2:33">
      <c r="C39" s="31"/>
      <c r="D39" s="32"/>
      <c r="E39" s="32"/>
      <c r="F39" s="33"/>
      <c r="G39" s="15"/>
      <c r="H39" s="16"/>
      <c r="J39" s="55"/>
      <c r="K39" s="503" t="s">
        <v>117</v>
      </c>
      <c r="L39" s="503"/>
      <c r="M39" s="503"/>
      <c r="N39" s="503"/>
    </row>
    <row r="40" spans="2:33">
      <c r="C40" s="34"/>
      <c r="D40" s="15"/>
      <c r="E40" s="15"/>
      <c r="F40" s="15"/>
      <c r="G40" s="18"/>
      <c r="H40" s="18"/>
      <c r="J40" s="56"/>
      <c r="K40" s="57" t="str">
        <f>K35</f>
        <v/>
      </c>
      <c r="L40" s="57" t="str">
        <f>L35</f>
        <v>b</v>
      </c>
      <c r="M40" s="57" t="str">
        <f>M35</f>
        <v/>
      </c>
      <c r="N40" s="57"/>
      <c r="P40" s="15"/>
      <c r="Q40" s="505" t="s">
        <v>113</v>
      </c>
      <c r="R40" s="505"/>
      <c r="S40" s="505"/>
      <c r="T40" s="505"/>
      <c r="W40" s="15"/>
      <c r="X40" s="505" t="s">
        <v>118</v>
      </c>
      <c r="Y40" s="505"/>
      <c r="Z40" s="505"/>
      <c r="AA40" s="505"/>
      <c r="AC40" s="15"/>
      <c r="AD40" s="505" t="s">
        <v>78</v>
      </c>
      <c r="AE40" s="505"/>
      <c r="AF40" s="505"/>
      <c r="AG40" s="505"/>
    </row>
    <row r="41" spans="2:33">
      <c r="C41" s="35"/>
      <c r="D41" s="15"/>
      <c r="E41" s="15" t="s">
        <v>80</v>
      </c>
      <c r="F41" s="15"/>
      <c r="G41" s="15"/>
      <c r="H41" s="15"/>
      <c r="J41" s="59" t="s">
        <v>108</v>
      </c>
      <c r="K41" s="60" t="str">
        <f t="shared" ref="K41:N42" si="3">IF(K36&lt;&gt;0,Q55,"")</f>
        <v/>
      </c>
      <c r="L41" s="60" t="str">
        <f t="shared" si="3"/>
        <v>NBT</v>
      </c>
      <c r="M41" s="60" t="str">
        <f t="shared" si="3"/>
        <v>WBL</v>
      </c>
      <c r="N41" s="60" t="str">
        <f t="shared" si="3"/>
        <v>EBT</v>
      </c>
      <c r="P41" t="s">
        <v>108</v>
      </c>
      <c r="Q41" s="49">
        <f>MAX(X41,AD41)</f>
        <v>0</v>
      </c>
      <c r="R41" s="49">
        <f t="shared" ref="R41:T42" si="4">MAX(Y41,AE41)</f>
        <v>2</v>
      </c>
      <c r="S41" s="49">
        <f t="shared" si="4"/>
        <v>3</v>
      </c>
      <c r="T41" s="49">
        <f t="shared" si="4"/>
        <v>4</v>
      </c>
      <c r="U41" s="506">
        <f>IF(V36=0,1,0)</f>
        <v>1</v>
      </c>
      <c r="W41" t="s">
        <v>108</v>
      </c>
      <c r="X41" s="49">
        <f>IF(AND($X$40=$J$2,B27=1),1,0)</f>
        <v>0</v>
      </c>
      <c r="Y41" s="50">
        <f>IF(AND($X$40=$J$2,E27=2),2,0)</f>
        <v>0</v>
      </c>
      <c r="Z41" s="6">
        <f>IF(AND($X$40=$J$2,H27=3),3,0)</f>
        <v>0</v>
      </c>
      <c r="AA41" s="50">
        <f>IF(AND($X$40=$J$2,G27=4),4,0)</f>
        <v>0</v>
      </c>
      <c r="AC41" t="s">
        <v>108</v>
      </c>
      <c r="AD41" s="49">
        <f>IF(AND($AD$40=$J$2,H27=1),1,0)</f>
        <v>0</v>
      </c>
      <c r="AE41" s="50">
        <f>IF(AND($AD$40=$J$2,G27=2),2,0)</f>
        <v>2</v>
      </c>
      <c r="AF41" s="6">
        <f>IF(AND($AD$40=$J$2,D27=3),3,0)</f>
        <v>3</v>
      </c>
      <c r="AG41" s="50">
        <f>IF(AND($AD$40=$J$2,C27=4),4,0)</f>
        <v>4</v>
      </c>
    </row>
    <row r="42" spans="2:33">
      <c r="C42" s="23"/>
      <c r="D42" s="36" t="str">
        <f>F27&amp;"  "&amp;F28</f>
        <v>0  2</v>
      </c>
      <c r="E42" s="37">
        <f>G27</f>
        <v>2</v>
      </c>
      <c r="F42" s="15"/>
      <c r="G42" s="15"/>
      <c r="H42" s="15"/>
      <c r="J42" s="61" t="s">
        <v>109</v>
      </c>
      <c r="K42" s="60" t="str">
        <f t="shared" si="3"/>
        <v/>
      </c>
      <c r="L42" s="60" t="str">
        <f t="shared" si="3"/>
        <v>SBT</v>
      </c>
      <c r="M42" s="60" t="str">
        <f t="shared" si="3"/>
        <v>EBL</v>
      </c>
      <c r="N42" s="60" t="str">
        <f t="shared" si="3"/>
        <v>WBT</v>
      </c>
      <c r="P42" s="47" t="s">
        <v>109</v>
      </c>
      <c r="Q42" s="49">
        <f>MAX(X42,AD42)</f>
        <v>0</v>
      </c>
      <c r="R42" s="49">
        <f t="shared" si="4"/>
        <v>6</v>
      </c>
      <c r="S42" s="49">
        <f t="shared" si="4"/>
        <v>7</v>
      </c>
      <c r="T42" s="49">
        <f t="shared" si="4"/>
        <v>8</v>
      </c>
      <c r="U42" s="506"/>
      <c r="W42" s="47" t="s">
        <v>109</v>
      </c>
      <c r="X42" s="45">
        <f>IF(AND($X$40=$J$2,D27=5),5,0)</f>
        <v>0</v>
      </c>
      <c r="Y42" s="51">
        <f>IF(AND($X$40=$J$2,C27=6),6,0)</f>
        <v>0</v>
      </c>
      <c r="Z42" s="45">
        <f>IF(AND($X$40=$J$2,F27=7),7,0)</f>
        <v>0</v>
      </c>
      <c r="AA42" s="51">
        <f>IF(AND($X$40=$J$2,I27=8),8,0)</f>
        <v>0</v>
      </c>
      <c r="AC42" s="47" t="s">
        <v>109</v>
      </c>
      <c r="AD42" s="45">
        <f>IF(AND($AD$40=$J$2,F27=5),5,0)</f>
        <v>0</v>
      </c>
      <c r="AE42" s="51">
        <f>IF(AND($AD$40=$J$2,I27=6),6,0)</f>
        <v>6</v>
      </c>
      <c r="AF42" s="45">
        <f>IF(AND($AD$40=$J$2,B27=7),7,0)</f>
        <v>7</v>
      </c>
      <c r="AG42" s="51">
        <f>IF(AND($AD$40=$J$2,E27=8),8,0)</f>
        <v>8</v>
      </c>
    </row>
    <row r="43" spans="2:33">
      <c r="P43"/>
      <c r="Q43" s="42"/>
      <c r="R43" s="42"/>
      <c r="S43" s="42"/>
      <c r="T43" s="42"/>
      <c r="U43" s="6"/>
    </row>
    <row r="44" spans="2:33" hidden="1">
      <c r="P44" s="47"/>
      <c r="Q44" s="505" t="s">
        <v>115</v>
      </c>
      <c r="R44" s="505"/>
      <c r="S44" s="505"/>
      <c r="T44" s="505"/>
      <c r="U44" s="6"/>
    </row>
    <row r="45" spans="2:33" hidden="1">
      <c r="P45" t="s">
        <v>108</v>
      </c>
      <c r="Q45" s="50">
        <f t="shared" ref="Q45:T46" si="5">IF(V36&lt;&gt;0,V36,0)</f>
        <v>0</v>
      </c>
      <c r="R45" s="50">
        <f t="shared" si="5"/>
        <v>0</v>
      </c>
      <c r="S45" s="50">
        <f t="shared" si="5"/>
        <v>0</v>
      </c>
      <c r="T45" s="50">
        <f t="shared" si="5"/>
        <v>0</v>
      </c>
      <c r="U45" s="507">
        <f>IF(V36=0,0,1)</f>
        <v>0</v>
      </c>
    </row>
    <row r="46" spans="2:33" hidden="1">
      <c r="P46" s="47" t="s">
        <v>109</v>
      </c>
      <c r="Q46" s="50">
        <f t="shared" si="5"/>
        <v>0</v>
      </c>
      <c r="R46" s="50">
        <f t="shared" si="5"/>
        <v>0</v>
      </c>
      <c r="S46" s="50">
        <f t="shared" si="5"/>
        <v>0</v>
      </c>
      <c r="T46" s="50">
        <f t="shared" si="5"/>
        <v>0</v>
      </c>
      <c r="U46" s="507"/>
    </row>
    <row r="47" spans="2:33">
      <c r="B47" s="55"/>
      <c r="C47" s="503" t="s">
        <v>116</v>
      </c>
      <c r="D47" s="503"/>
      <c r="E47" s="503"/>
      <c r="F47" s="503"/>
    </row>
    <row r="48" spans="2:33">
      <c r="B48" s="56"/>
      <c r="C48" s="57" t="str">
        <f t="shared" ref="C48:F50" si="6">K35</f>
        <v/>
      </c>
      <c r="D48" s="57" t="str">
        <f t="shared" si="6"/>
        <v>b</v>
      </c>
      <c r="E48" s="57" t="str">
        <f t="shared" si="6"/>
        <v/>
      </c>
      <c r="F48" s="57">
        <f t="shared" si="6"/>
        <v>0</v>
      </c>
      <c r="P48" s="25"/>
      <c r="Q48" s="25"/>
      <c r="R48" s="25"/>
      <c r="S48" s="25"/>
      <c r="T48" s="25"/>
      <c r="U48" s="25"/>
      <c r="V48" s="25"/>
      <c r="W48" s="25"/>
    </row>
    <row r="49" spans="2:23">
      <c r="B49" s="95" t="s">
        <v>108</v>
      </c>
      <c r="C49" s="57">
        <f t="shared" si="6"/>
        <v>0</v>
      </c>
      <c r="D49" s="57">
        <f t="shared" si="6"/>
        <v>2</v>
      </c>
      <c r="E49" s="57">
        <f t="shared" si="6"/>
        <v>3</v>
      </c>
      <c r="F49" s="57">
        <f t="shared" si="6"/>
        <v>4</v>
      </c>
      <c r="P49" s="6">
        <f>B27</f>
        <v>7</v>
      </c>
      <c r="Q49" s="6">
        <f t="shared" ref="Q49:W49" si="7">C27</f>
        <v>4</v>
      </c>
      <c r="R49" s="6">
        <f t="shared" si="7"/>
        <v>3</v>
      </c>
      <c r="S49" s="6">
        <f t="shared" si="7"/>
        <v>8</v>
      </c>
      <c r="T49" s="6">
        <f t="shared" si="7"/>
        <v>0</v>
      </c>
      <c r="U49" s="6">
        <f t="shared" si="7"/>
        <v>2</v>
      </c>
      <c r="V49" s="6">
        <f t="shared" si="7"/>
        <v>0</v>
      </c>
      <c r="W49" s="6">
        <f t="shared" si="7"/>
        <v>6</v>
      </c>
    </row>
    <row r="50" spans="2:23">
      <c r="B50" s="184" t="s">
        <v>109</v>
      </c>
      <c r="C50" s="57">
        <f t="shared" si="6"/>
        <v>0</v>
      </c>
      <c r="D50" s="57">
        <f t="shared" si="6"/>
        <v>6</v>
      </c>
      <c r="E50" s="57">
        <f t="shared" si="6"/>
        <v>7</v>
      </c>
      <c r="F50" s="57">
        <f t="shared" si="6"/>
        <v>8</v>
      </c>
      <c r="P50" s="6" t="str">
        <f t="shared" ref="P50:W50" si="8">IF(P49&gt;0,B26,0)</f>
        <v>EBL</v>
      </c>
      <c r="Q50" s="6" t="str">
        <f t="shared" si="8"/>
        <v>EBT</v>
      </c>
      <c r="R50" s="6" t="str">
        <f t="shared" si="8"/>
        <v>WBL</v>
      </c>
      <c r="S50" s="6" t="str">
        <f t="shared" si="8"/>
        <v>WBT</v>
      </c>
      <c r="T50" s="6">
        <f t="shared" si="8"/>
        <v>0</v>
      </c>
      <c r="U50" s="6" t="str">
        <f t="shared" si="8"/>
        <v>NBT</v>
      </c>
      <c r="V50" s="6">
        <f t="shared" si="8"/>
        <v>0</v>
      </c>
      <c r="W50" s="6" t="str">
        <f t="shared" si="8"/>
        <v>SBT</v>
      </c>
    </row>
    <row r="51" spans="2:23">
      <c r="Q51" s="45"/>
      <c r="R51" s="45"/>
      <c r="S51" s="45"/>
      <c r="T51" s="45"/>
    </row>
    <row r="52" spans="2:23">
      <c r="P52" s="62" t="s">
        <v>108</v>
      </c>
      <c r="Q52" s="70">
        <f t="shared" ref="Q52:T53" si="9">MATCH(K36,$P$49:$W$49,0)</f>
        <v>5</v>
      </c>
      <c r="R52" s="70">
        <f t="shared" si="9"/>
        <v>6</v>
      </c>
      <c r="S52" s="70">
        <f t="shared" si="9"/>
        <v>3</v>
      </c>
      <c r="T52" s="70">
        <f t="shared" si="9"/>
        <v>2</v>
      </c>
    </row>
    <row r="53" spans="2:23">
      <c r="P53" s="47" t="s">
        <v>109</v>
      </c>
      <c r="Q53" s="70">
        <f t="shared" si="9"/>
        <v>5</v>
      </c>
      <c r="R53" s="70">
        <f t="shared" si="9"/>
        <v>8</v>
      </c>
      <c r="S53" s="70">
        <f t="shared" si="9"/>
        <v>1</v>
      </c>
      <c r="T53" s="70">
        <f t="shared" si="9"/>
        <v>4</v>
      </c>
    </row>
    <row r="54" spans="2:23">
      <c r="Q54" s="70"/>
      <c r="R54" s="70"/>
      <c r="S54" s="70"/>
      <c r="T54" s="70"/>
    </row>
    <row r="55" spans="2:23">
      <c r="P55" s="62" t="s">
        <v>108</v>
      </c>
      <c r="Q55" s="70">
        <f>IF(Q52&gt;0,INDEX($P$49:$W$50,2,Q52),0)</f>
        <v>0</v>
      </c>
      <c r="R55" s="70" t="str">
        <f>IF(R52&gt;0,INDEX($P$49:$W$50,2,R52),0)</f>
        <v>NBT</v>
      </c>
      <c r="S55" s="70" t="str">
        <f>IF(S52&gt;0,INDEX($P$49:$W$50,2,S52),0)</f>
        <v>WBL</v>
      </c>
      <c r="T55" s="70" t="str">
        <f t="shared" ref="R55:T56" si="10">INDEX($P$49:$W$50,2,T52)</f>
        <v>EBT</v>
      </c>
    </row>
    <row r="56" spans="2:23">
      <c r="P56" s="47" t="s">
        <v>109</v>
      </c>
      <c r="Q56" s="70">
        <f>INDEX($P$49:$W$50,2,Q53)</f>
        <v>0</v>
      </c>
      <c r="R56" s="70" t="str">
        <f t="shared" si="10"/>
        <v>SBT</v>
      </c>
      <c r="S56" s="70" t="str">
        <f t="shared" si="10"/>
        <v>EBL</v>
      </c>
      <c r="T56" s="70" t="str">
        <f t="shared" si="10"/>
        <v>WBT</v>
      </c>
    </row>
    <row r="59" spans="2:23">
      <c r="P59" s="16"/>
      <c r="Q59" s="16"/>
      <c r="R59" s="84"/>
      <c r="S59" s="84"/>
      <c r="T59" s="84"/>
      <c r="U59" s="84"/>
      <c r="V59" s="84"/>
      <c r="W59" s="84"/>
    </row>
    <row r="60" spans="2:23">
      <c r="P60" s="81"/>
      <c r="Q60" s="81"/>
      <c r="R60" s="82"/>
      <c r="S60" s="82"/>
      <c r="T60" s="82"/>
      <c r="U60" s="82"/>
      <c r="V60" s="82"/>
      <c r="W60" s="83"/>
    </row>
    <row r="61" spans="2:23">
      <c r="P61" s="62"/>
      <c r="Q61" s="77"/>
      <c r="R61" s="45"/>
      <c r="S61" s="45"/>
      <c r="T61" s="45"/>
      <c r="U61" s="45"/>
      <c r="V61" s="45"/>
      <c r="W61" s="45"/>
    </row>
    <row r="62" spans="2:23">
      <c r="P62" s="47"/>
      <c r="Q62" s="47"/>
      <c r="R62" s="45"/>
      <c r="S62" s="45"/>
      <c r="T62" s="45"/>
      <c r="U62" s="45"/>
      <c r="V62" s="45"/>
      <c r="W62" s="45"/>
    </row>
    <row r="63" spans="2:23">
      <c r="P63" s="81"/>
      <c r="Q63" s="81"/>
      <c r="R63" s="81"/>
      <c r="S63" s="81"/>
      <c r="T63" s="81"/>
      <c r="U63" s="81"/>
      <c r="V63" s="81"/>
      <c r="W63" s="81"/>
    </row>
    <row r="64" spans="2:23">
      <c r="P64" s="81"/>
      <c r="Q64" s="81"/>
      <c r="R64" s="81"/>
      <c r="S64" s="81"/>
      <c r="T64" s="81"/>
      <c r="U64" s="81"/>
      <c r="V64" s="81"/>
      <c r="W64" s="81"/>
    </row>
    <row r="65" spans="16:23">
      <c r="P65" s="16"/>
      <c r="Q65" s="16"/>
      <c r="R65" s="84"/>
      <c r="S65" s="84"/>
      <c r="T65" s="84"/>
      <c r="U65" s="84"/>
      <c r="V65" s="84"/>
      <c r="W65" s="84"/>
    </row>
    <row r="66" spans="16:23">
      <c r="P66" s="81"/>
      <c r="Q66" s="81"/>
      <c r="R66" s="82"/>
      <c r="S66" s="82"/>
      <c r="T66" s="82"/>
      <c r="U66" s="82"/>
      <c r="V66" s="82"/>
      <c r="W66" s="83"/>
    </row>
    <row r="67" spans="16:23">
      <c r="P67" s="62"/>
      <c r="Q67" s="77"/>
      <c r="R67" s="77"/>
      <c r="S67" s="77"/>
      <c r="T67" s="77"/>
      <c r="U67" s="77"/>
      <c r="V67" s="77"/>
      <c r="W67" s="77"/>
    </row>
    <row r="68" spans="16:23">
      <c r="P68" s="47"/>
      <c r="Q68" s="77"/>
      <c r="R68" s="77"/>
      <c r="S68" s="77"/>
      <c r="T68" s="77"/>
      <c r="U68" s="77"/>
      <c r="V68" s="77"/>
      <c r="W68" s="77"/>
    </row>
  </sheetData>
  <mergeCells count="19">
    <mergeCell ref="X40:AA40"/>
    <mergeCell ref="I11:I15"/>
    <mergeCell ref="Q17:T17"/>
    <mergeCell ref="P16:T16"/>
    <mergeCell ref="AD40:AG40"/>
    <mergeCell ref="Q21:R21"/>
    <mergeCell ref="Q25:S25"/>
    <mergeCell ref="Q40:T40"/>
    <mergeCell ref="K34:N34"/>
    <mergeCell ref="K39:N39"/>
    <mergeCell ref="C47:F47"/>
    <mergeCell ref="A1:C1"/>
    <mergeCell ref="Q44:T44"/>
    <mergeCell ref="U41:U42"/>
    <mergeCell ref="U45:U46"/>
    <mergeCell ref="N1:O1"/>
    <mergeCell ref="L1:M1"/>
    <mergeCell ref="Q13:U13"/>
    <mergeCell ref="K15:K18"/>
  </mergeCells>
  <conditionalFormatting sqref="O35:O36 K35:N37">
    <cfRule type="cellIs" dxfId="27" priority="7" stopIfTrue="1" operator="equal">
      <formula>0</formula>
    </cfRule>
  </conditionalFormatting>
  <conditionalFormatting sqref="C48:F50">
    <cfRule type="cellIs" dxfId="26" priority="1" stopIfTrue="1" operator="equal">
      <formula>0</formula>
    </cfRule>
  </conditionalFormatting>
  <pageMargins left="0.7" right="0.7" top="0.75" bottom="0.75" header="0.3" footer="0.3"/>
  <pageSetup orientation="portrait"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sheetPr codeName="Sheet4"/>
  <dimension ref="B1:BQ64"/>
  <sheetViews>
    <sheetView zoomScale="60" zoomScaleNormal="60" workbookViewId="0">
      <selection activeCell="C5" sqref="C5"/>
    </sheetView>
  </sheetViews>
  <sheetFormatPr defaultRowHeight="1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c r="B1" s="100" t="s">
        <v>207</v>
      </c>
      <c r="T1" s="96"/>
      <c r="AK1" s="96"/>
      <c r="BB1" s="96"/>
    </row>
    <row r="2" spans="2:57" s="62" customFormat="1">
      <c r="B2" s="514" t="s">
        <v>154</v>
      </c>
      <c r="C2" s="514"/>
      <c r="D2" s="514"/>
      <c r="E2" s="514"/>
      <c r="T2" s="514" t="s">
        <v>201</v>
      </c>
      <c r="U2" s="514"/>
      <c r="V2" s="514"/>
      <c r="W2" s="514"/>
      <c r="AK2" s="514" t="s">
        <v>202</v>
      </c>
      <c r="AL2" s="514"/>
      <c r="AM2" s="514"/>
      <c r="AN2" s="514"/>
      <c r="BB2" s="514" t="s">
        <v>203</v>
      </c>
      <c r="BC2" s="514"/>
      <c r="BD2" s="514"/>
      <c r="BE2" s="514"/>
    </row>
    <row r="3" spans="2:57" s="62" customFormat="1"/>
    <row r="4" spans="2:57" s="283" customFormat="1">
      <c r="B4" s="288" t="s">
        <v>155</v>
      </c>
      <c r="C4" s="283" t="s">
        <v>156</v>
      </c>
      <c r="D4" s="283" t="s">
        <v>157</v>
      </c>
      <c r="T4" s="288" t="s">
        <v>155</v>
      </c>
      <c r="U4" s="283" t="s">
        <v>156</v>
      </c>
      <c r="V4" s="283" t="s">
        <v>157</v>
      </c>
      <c r="AK4" s="288" t="s">
        <v>155</v>
      </c>
      <c r="AL4" s="283" t="s">
        <v>156</v>
      </c>
      <c r="AM4" s="283" t="s">
        <v>157</v>
      </c>
      <c r="BB4" s="288" t="s">
        <v>155</v>
      </c>
      <c r="BC4" s="283" t="s">
        <v>156</v>
      </c>
      <c r="BD4" s="283" t="s">
        <v>157</v>
      </c>
    </row>
    <row r="5" spans="2:57" s="62" customFormat="1">
      <c r="B5" s="62" t="s">
        <v>167</v>
      </c>
      <c r="C5" s="77">
        <f>ROUND(Sheet1!P4*(1-'Input sheet'!G17/100),0)</f>
        <v>49</v>
      </c>
      <c r="D5" s="77">
        <f>C5</f>
        <v>49</v>
      </c>
      <c r="T5" s="62" t="s">
        <v>167</v>
      </c>
      <c r="U5" s="77">
        <f>ROUND(Sheet1!U4*(1-'Input sheet'!N11/100),0)</f>
        <v>280</v>
      </c>
      <c r="V5" s="77">
        <f>U5</f>
        <v>280</v>
      </c>
      <c r="AK5" s="62" t="s">
        <v>167</v>
      </c>
      <c r="AL5" s="77">
        <f>ROUND((Sheet1!F4+Sheet1!Y4+Sheet1!AB4)*(1-'Input sheet'!L22/100),0)</f>
        <v>71</v>
      </c>
      <c r="AM5" s="77">
        <f>AL5</f>
        <v>71</v>
      </c>
      <c r="BB5" s="62" t="s">
        <v>167</v>
      </c>
      <c r="BC5" s="77">
        <f>ROUND((Sheet1!K4+Sheet1!AE4+Sheet1!AH4)*(1-'Input sheet'!H7/100),0)</f>
        <v>12</v>
      </c>
      <c r="BD5" s="77">
        <f>BC5</f>
        <v>12</v>
      </c>
    </row>
    <row r="6" spans="2:57" s="283" customFormat="1">
      <c r="B6" s="283" t="s">
        <v>170</v>
      </c>
      <c r="C6" s="257">
        <f>Sheet1!P5</f>
        <v>1</v>
      </c>
      <c r="D6" s="257">
        <v>1</v>
      </c>
      <c r="T6" s="283" t="s">
        <v>170</v>
      </c>
      <c r="U6" s="257">
        <f>Sheet1!U5</f>
        <v>1</v>
      </c>
      <c r="V6" s="257">
        <v>1</v>
      </c>
      <c r="AK6" s="283" t="s">
        <v>170</v>
      </c>
      <c r="AL6" s="257">
        <f>Sheet1!F5+Sheet1!Y5+Sheet1!AB5</f>
        <v>1</v>
      </c>
      <c r="AM6" s="257">
        <v>1</v>
      </c>
      <c r="BB6" s="283" t="s">
        <v>170</v>
      </c>
      <c r="BC6" s="257">
        <f>Sheet1!K5+Sheet1!AE5+Sheet1!AH5</f>
        <v>1</v>
      </c>
      <c r="BD6" s="257">
        <v>1</v>
      </c>
    </row>
    <row r="7" spans="2:57" s="62" customFormat="1">
      <c r="B7" s="62" t="s">
        <v>169</v>
      </c>
      <c r="C7" s="77">
        <f>IF(C6=1,0.85,0.75)</f>
        <v>0.85</v>
      </c>
      <c r="D7" s="77">
        <v>0.85</v>
      </c>
      <c r="T7" s="62" t="s">
        <v>169</v>
      </c>
      <c r="U7" s="77">
        <f>IF(U6=1,0.85,0.75)</f>
        <v>0.85</v>
      </c>
      <c r="V7" s="77">
        <v>0.85</v>
      </c>
      <c r="AK7" s="62" t="s">
        <v>169</v>
      </c>
      <c r="AL7" s="77">
        <f>IF(AL6=1,0.85,0.75)</f>
        <v>0.85</v>
      </c>
      <c r="AM7" s="77">
        <v>0.85</v>
      </c>
      <c r="BB7" s="62" t="s">
        <v>169</v>
      </c>
      <c r="BC7" s="77">
        <f>IF(BC6=1,0.85,0.75)</f>
        <v>0.85</v>
      </c>
      <c r="BD7" s="77">
        <v>0.85</v>
      </c>
    </row>
    <row r="8" spans="2:57" s="283" customFormat="1">
      <c r="B8" s="283" t="s">
        <v>171</v>
      </c>
      <c r="C8" s="257">
        <f>ROUND(IF(C6=0,0,C5/(C6*C7)),0)</f>
        <v>58</v>
      </c>
      <c r="D8" s="257">
        <f>ROUND(IF(C6=0,D5/(D6*D7),0),0)</f>
        <v>0</v>
      </c>
      <c r="T8" s="283" t="s">
        <v>171</v>
      </c>
      <c r="U8" s="257">
        <f>ROUND(IF(U6=0,0,U5/(U6*U7)),0)</f>
        <v>329</v>
      </c>
      <c r="V8" s="257">
        <f>ROUND(IF(U6=0,V5/(V6*V7),0),0)</f>
        <v>0</v>
      </c>
      <c r="AK8" s="283" t="s">
        <v>171</v>
      </c>
      <c r="AL8" s="257">
        <f>ROUND(IF(AL6=0,0,AL5/(AL6*AL7)),0)</f>
        <v>84</v>
      </c>
      <c r="AM8" s="257">
        <f>ROUND(IF(AL6=0,AM5/(AM6*AM7),0),0)</f>
        <v>0</v>
      </c>
      <c r="BB8" s="283" t="s">
        <v>171</v>
      </c>
      <c r="BC8" s="257">
        <f>ROUND(IF(BC6=0,0,BC5/(BC6*BC7)),0)</f>
        <v>14</v>
      </c>
      <c r="BD8" s="257">
        <f>ROUND(IF(BC6=0,BD5/(BD6*BD7),0),0)</f>
        <v>0</v>
      </c>
    </row>
    <row r="9" spans="2:57" s="62" customFormat="1"/>
    <row r="10" spans="2:57" s="283" customFormat="1">
      <c r="B10" s="288" t="s">
        <v>158</v>
      </c>
      <c r="T10" s="288" t="s">
        <v>158</v>
      </c>
      <c r="AK10" s="288" t="s">
        <v>158</v>
      </c>
      <c r="BB10" s="288" t="s">
        <v>158</v>
      </c>
    </row>
    <row r="11" spans="2:57" s="62" customFormat="1">
      <c r="B11" s="62" t="s">
        <v>168</v>
      </c>
      <c r="C11" s="77">
        <f>Sheet1!N4</f>
        <v>28</v>
      </c>
      <c r="T11" s="62" t="s">
        <v>168</v>
      </c>
      <c r="U11" s="77">
        <f>Sheet1!S4</f>
        <v>803</v>
      </c>
      <c r="AK11" s="62" t="s">
        <v>168</v>
      </c>
      <c r="AL11" s="77">
        <f>Sheet1!D4+Sheet1!W4+Sheet1!Z4</f>
        <v>15</v>
      </c>
      <c r="BB11" s="62" t="s">
        <v>168</v>
      </c>
      <c r="BC11" s="77">
        <f>Sheet1!I4+Sheet1!AC4+Sheet1!AF4</f>
        <v>124</v>
      </c>
    </row>
    <row r="12" spans="2:57" s="283" customFormat="1">
      <c r="B12" s="283" t="s">
        <v>172</v>
      </c>
      <c r="C12" s="257">
        <f>SUM(Sheet1!S4:U4)-Sheet1!S4</f>
        <v>561</v>
      </c>
      <c r="T12" s="283" t="s">
        <v>172</v>
      </c>
      <c r="U12" s="257">
        <f>SUM(Sheet1!N4:P4)-Sheet1!N4</f>
        <v>97</v>
      </c>
      <c r="AK12" s="283" t="s">
        <v>172</v>
      </c>
      <c r="AL12" s="257">
        <f>SUM(Sheet1!I4:K4,Sheet1!AC4:AH4)-Sheet1!AF4-Sheet1!AC4-Sheet1!I4</f>
        <v>1445</v>
      </c>
      <c r="BB12" s="283" t="s">
        <v>172</v>
      </c>
      <c r="BC12" s="257">
        <f>SUM(Sheet1!D4:F4,Sheet1!W4:AB4)-Sheet1!Z4-Sheet1!W4-Sheet1!D4</f>
        <v>879</v>
      </c>
    </row>
    <row r="13" spans="2:57" s="62" customFormat="1">
      <c r="B13" s="62" t="s">
        <v>173</v>
      </c>
      <c r="C13" s="77">
        <f>Sheet1!N5</f>
        <v>1</v>
      </c>
      <c r="T13" s="62" t="s">
        <v>173</v>
      </c>
      <c r="U13" s="77">
        <f>Sheet1!S5</f>
        <v>1</v>
      </c>
      <c r="AK13" s="62" t="s">
        <v>173</v>
      </c>
      <c r="AL13" s="77">
        <f>Sheet1!D5+Sheet1!W5+Sheet1!Z5</f>
        <v>1</v>
      </c>
      <c r="BB13" s="62" t="s">
        <v>173</v>
      </c>
      <c r="BC13" s="77">
        <f>Sheet1!I5+Sheet1!AC4+Sheet1!AF4</f>
        <v>1</v>
      </c>
    </row>
    <row r="14" spans="2:57" s="283" customFormat="1">
      <c r="B14" s="283" t="s">
        <v>174</v>
      </c>
      <c r="C14" s="257">
        <f>MAX(C18:C21)</f>
        <v>0.95</v>
      </c>
      <c r="D14" s="363">
        <f>IF(OR('Phase designation'!B22=1,'Phase designation'!B22=3),1,0)</f>
        <v>1</v>
      </c>
      <c r="T14" s="283" t="s">
        <v>174</v>
      </c>
      <c r="U14" s="257">
        <f>MAX(U18:U21)</f>
        <v>0.95</v>
      </c>
      <c r="V14" s="363">
        <f>IF(OR('Phase designation'!D22=1,'Phase designation'!D22=3),1,0)</f>
        <v>1</v>
      </c>
      <c r="AK14" s="283" t="s">
        <v>174</v>
      </c>
      <c r="AL14" s="257">
        <f>MAX(AL18:AL21)</f>
        <v>0.95</v>
      </c>
      <c r="AM14" s="363">
        <f>IF(OR('Phase designation'!F22=1,'Phase designation'!F22=3),1,0)</f>
        <v>0</v>
      </c>
      <c r="BB14" s="283" t="s">
        <v>174</v>
      </c>
      <c r="BC14" s="257">
        <f>MAX(BC18:BC21)</f>
        <v>0.95</v>
      </c>
      <c r="BD14" s="363">
        <f>IF(OR('Phase designation'!H22=1,'Phase designation'!H22=3),1,0)</f>
        <v>0</v>
      </c>
    </row>
    <row r="15" spans="2:57" s="62" customFormat="1">
      <c r="B15" s="515" t="s">
        <v>159</v>
      </c>
      <c r="C15" s="77" t="s">
        <v>176</v>
      </c>
      <c r="D15" s="77" t="s">
        <v>177</v>
      </c>
      <c r="E15" s="77" t="s">
        <v>178</v>
      </c>
      <c r="T15" s="515" t="s">
        <v>159</v>
      </c>
      <c r="U15" s="77" t="s">
        <v>176</v>
      </c>
      <c r="V15" s="77" t="s">
        <v>177</v>
      </c>
      <c r="W15" s="77" t="s">
        <v>178</v>
      </c>
      <c r="AK15" s="515" t="s">
        <v>159</v>
      </c>
      <c r="AL15" s="77" t="s">
        <v>176</v>
      </c>
      <c r="AM15" s="77" t="s">
        <v>177</v>
      </c>
      <c r="AN15" s="77" t="s">
        <v>178</v>
      </c>
      <c r="BB15" s="515" t="s">
        <v>159</v>
      </c>
      <c r="BC15" s="77" t="s">
        <v>176</v>
      </c>
      <c r="BD15" s="77" t="s">
        <v>177</v>
      </c>
      <c r="BE15" s="77" t="s">
        <v>178</v>
      </c>
    </row>
    <row r="16" spans="2:57" s="283" customFormat="1">
      <c r="B16" s="515"/>
      <c r="C16" s="294">
        <v>0</v>
      </c>
      <c r="D16" s="294">
        <f>IF(D14=1,D17,0)</f>
        <v>29</v>
      </c>
      <c r="E16" s="294">
        <f>ROUND(IF(OR(C20&gt;0,C21&gt;0),C11/(C13*C14),0),0)</f>
        <v>0</v>
      </c>
      <c r="T16" s="515"/>
      <c r="U16" s="294">
        <v>0</v>
      </c>
      <c r="V16" s="294">
        <f>IF(V14=1,V17,0)</f>
        <v>845</v>
      </c>
      <c r="W16" s="294">
        <f>ROUND(IF(OR(U20&gt;0,U21&gt;0),U11/(U13*U14),0),0)</f>
        <v>0</v>
      </c>
      <c r="AK16" s="515"/>
      <c r="AL16" s="294">
        <v>0</v>
      </c>
      <c r="AM16" s="294">
        <f>IF(AM14=1,AM17,0)</f>
        <v>0</v>
      </c>
      <c r="AN16" s="294">
        <f>ROUND(IF(OR(AL20&gt;0,AL21&gt;0),AL11/(AL13*AL14),0),0)</f>
        <v>0</v>
      </c>
      <c r="BB16" s="515"/>
      <c r="BC16" s="294">
        <v>0</v>
      </c>
      <c r="BD16" s="294">
        <f>IF(BD14=1,BD17,0)</f>
        <v>0</v>
      </c>
      <c r="BE16" s="294">
        <f>ROUND(IF(OR(BC20&gt;0,BC21&gt;0),BC11/(BC13*BC14),0),0)</f>
        <v>0</v>
      </c>
    </row>
    <row r="17" spans="2:57" s="62" customFormat="1">
      <c r="D17" s="293">
        <f>ROUND(IF(OR(C18&gt;0,C19&gt;0),C11/(C13*C14),0),0)</f>
        <v>29</v>
      </c>
      <c r="V17" s="293">
        <f>ROUND(IF(OR(U18&gt;0,U19&gt;0),U11/(U13*U14),0),0)</f>
        <v>845</v>
      </c>
      <c r="AM17" s="293">
        <f>ROUND(IF(OR(AL18&gt;0,AL19&gt;0),AL11/(AL13*AL14),0),0)</f>
        <v>16</v>
      </c>
      <c r="BD17" s="293">
        <f>ROUND(IF(OR(BC18&gt;0,BC19&gt;0),BC11/(BC13*BC14),0),0)</f>
        <v>131</v>
      </c>
    </row>
    <row r="18" spans="2:57" s="62" customFormat="1">
      <c r="B18" s="62" t="s">
        <v>160</v>
      </c>
      <c r="C18" s="62">
        <f>IF(AND(SUM(Sheet1!S5:U5)&gt;0,'Lane volumes'!C13=1),0.95,0)</f>
        <v>0.95</v>
      </c>
      <c r="T18" s="62" t="s">
        <v>160</v>
      </c>
      <c r="U18" s="62">
        <f>IF(AND(SUM(Sheet1!N5:P5)&gt;0,'Lane volumes'!U13=1),0.95,0)</f>
        <v>0.95</v>
      </c>
      <c r="AK18" s="62" t="s">
        <v>160</v>
      </c>
      <c r="AL18" s="62">
        <f>IF(AND(SUM(Sheet1!I5:K5,Sheet1!AC5:AE5,Sheet1!AF5:AH5)&gt;0,'Lane volumes'!AL13=1),0.95,0)</f>
        <v>0.95</v>
      </c>
      <c r="BB18" s="62" t="s">
        <v>160</v>
      </c>
      <c r="BC18" s="62">
        <f>IF(AND(SUM(Sheet1!D5:F5,Sheet1!W5:Y5,Sheet1!Z5:AB5)&gt;0,'Lane volumes'!BC13=1),0.95,0)</f>
        <v>0.95</v>
      </c>
    </row>
    <row r="19" spans="2:57" s="62" customFormat="1">
      <c r="B19" s="62" t="s">
        <v>163</v>
      </c>
      <c r="C19" s="62">
        <f>IF(AND(SUM(Sheet1!S5:U5)&gt;0,'Lane volumes'!C13&gt;=2),0.92,0)</f>
        <v>0</v>
      </c>
      <c r="T19" s="62" t="s">
        <v>163</v>
      </c>
      <c r="U19" s="62">
        <f>IF(AND(SUM(Sheet1!N5:P5)&gt;0,'Lane volumes'!U13&gt;=2),0.92,0)</f>
        <v>0</v>
      </c>
      <c r="AK19" s="62" t="s">
        <v>163</v>
      </c>
      <c r="AL19" s="62">
        <f>IF(AND(SUM(Sheet1!I5:K5,Sheet1!AC5:AE5,Sheet1!AF5:AH5)&gt;0,'Lane volumes'!AL13&gt;=2),0.92,0)</f>
        <v>0</v>
      </c>
      <c r="BB19" s="62" t="s">
        <v>163</v>
      </c>
      <c r="BC19" s="62">
        <f>IF(AND(SUM(Sheet1!D5:F5,Sheet1!W5:Y5,Sheet1!Z5:AB5)&gt;0,'Lane volumes'!BC13&gt;=2),0.92,0)</f>
        <v>0</v>
      </c>
    </row>
    <row r="20" spans="2:57" s="62" customFormat="1">
      <c r="B20" s="62" t="s">
        <v>161</v>
      </c>
      <c r="C20" s="62">
        <f>IF(AND(SUM(Sheet1!S5:U5)=0,'Lane volumes'!C13=1),0.85,0)</f>
        <v>0</v>
      </c>
      <c r="T20" s="62" t="s">
        <v>161</v>
      </c>
      <c r="U20" s="62">
        <f>IF(AND(SUM(Sheet1!N5:P5)=0,'Lane volumes'!U13=1),0.85,0)</f>
        <v>0</v>
      </c>
      <c r="AK20" s="62" t="s">
        <v>161</v>
      </c>
      <c r="AL20" s="62">
        <f>IF(AND(SUM(Sheet1!I5:K5,Sheet1!AC5:AE5,Sheet1!AF5:AH5)=0,'Lane volumes'!AL13=1),0.85,0)</f>
        <v>0</v>
      </c>
      <c r="BB20" s="62" t="s">
        <v>161</v>
      </c>
      <c r="BC20" s="62">
        <f>IF(AND(SUM(Sheet1!D5:F5,Sheet1!W5:Y5,Sheet1!Z5:AB5)=0,'Lane volumes'!BC13=1),0.85,0)</f>
        <v>0</v>
      </c>
    </row>
    <row r="21" spans="2:57" s="62" customFormat="1">
      <c r="B21" s="62" t="s">
        <v>162</v>
      </c>
      <c r="C21" s="62">
        <f>IF(AND(SUM(Sheet1!S5:U5)=0,'Lane volumes'!C13&gt;=2),0.75,0)</f>
        <v>0</v>
      </c>
      <c r="T21" s="62" t="s">
        <v>162</v>
      </c>
      <c r="U21" s="62">
        <f>IF(AND(SUM(Sheet1!N5:P5)=0,'Lane volumes'!U13&gt;=2),0.75,0)</f>
        <v>0</v>
      </c>
      <c r="AK21" s="62" t="s">
        <v>162</v>
      </c>
      <c r="AL21" s="62">
        <f>IF(AND(SUM(Sheet1!I5:K5,Sheet1!AC5:AE5,Sheet1!AF5:AH5)=0,'Lane volumes'!AL13&gt;=2),0.75,0)</f>
        <v>0</v>
      </c>
      <c r="BB21" s="62" t="s">
        <v>162</v>
      </c>
      <c r="BC21" s="62">
        <f>IF(AND(SUM(Sheet1!D5:F5,Sheet1!W5:Y5,Sheet1!Z5:AB5)=0,'Lane volumes'!BC13&gt;=2),0.75,0)</f>
        <v>0</v>
      </c>
    </row>
    <row r="22" spans="2:57" s="62" customFormat="1"/>
    <row r="23" spans="2:57" s="283" customFormat="1">
      <c r="B23" s="288" t="s">
        <v>175</v>
      </c>
      <c r="C23" s="257" t="s">
        <v>176</v>
      </c>
      <c r="D23" s="257" t="s">
        <v>177</v>
      </c>
      <c r="E23" s="257" t="s">
        <v>178</v>
      </c>
      <c r="T23" s="288" t="s">
        <v>175</v>
      </c>
      <c r="U23" s="257" t="s">
        <v>176</v>
      </c>
      <c r="V23" s="257" t="s">
        <v>177</v>
      </c>
      <c r="W23" s="257" t="s">
        <v>178</v>
      </c>
      <c r="AK23" s="288" t="s">
        <v>175</v>
      </c>
      <c r="AL23" s="257" t="s">
        <v>176</v>
      </c>
      <c r="AM23" s="257" t="s">
        <v>177</v>
      </c>
      <c r="AN23" s="257" t="s">
        <v>178</v>
      </c>
      <c r="BB23" s="288" t="s">
        <v>175</v>
      </c>
      <c r="BC23" s="257" t="s">
        <v>176</v>
      </c>
      <c r="BD23" s="257" t="s">
        <v>177</v>
      </c>
      <c r="BE23" s="257" t="s">
        <v>178</v>
      </c>
    </row>
    <row r="24" spans="2:57" s="62" customFormat="1">
      <c r="B24" s="62" t="s">
        <v>196</v>
      </c>
      <c r="C24" s="77">
        <f>IF(AND('Phase designation'!B22=2,E16=0),Sheet1!O4,0)</f>
        <v>0</v>
      </c>
      <c r="D24" s="77">
        <f>IF(OR('Phase designation'!B22=1,'Phase designation'!B22=3),Sheet1!O4,0)</f>
        <v>0</v>
      </c>
      <c r="E24" s="77">
        <f>IF(OR(C20&gt;0,C21&gt;0),Sheet1!O4,0)</f>
        <v>0</v>
      </c>
      <c r="T24" s="62" t="s">
        <v>196</v>
      </c>
      <c r="U24" s="77">
        <f>IF(AND('Phase designation'!D22=2,W16=0),Sheet1!T4,0)</f>
        <v>0</v>
      </c>
      <c r="V24" s="77">
        <f>IF(OR('Phase designation'!D22=1,'Phase designation'!D22=3),Sheet1!T4,0)</f>
        <v>1</v>
      </c>
      <c r="W24" s="77">
        <f>IF(OR(U20&gt;0,U21&gt;0),Sheet1!T4,0)</f>
        <v>0</v>
      </c>
      <c r="AK24" s="62" t="s">
        <v>196</v>
      </c>
      <c r="AL24" s="77">
        <f>IF(AND('Phase designation'!F22=2,AN16=0),Sheet1!E4+Sheet1!X4+Sheet1!AA4,0)</f>
        <v>738</v>
      </c>
      <c r="AM24" s="77">
        <f>IF(OR('Phase designation'!F22=1,'Phase designation'!F22=3),Sheet1!E4+Sheet1!X4+Sheet1!AA4,0)</f>
        <v>0</v>
      </c>
      <c r="AN24" s="77">
        <f>IF(OR(AL20&gt;0,AL21&gt;0),Sheet1!E4+Sheet1!X4+Sheet1!AA4,0)</f>
        <v>0</v>
      </c>
      <c r="BB24" s="62" t="s">
        <v>196</v>
      </c>
      <c r="BC24" s="77">
        <f>IF(AND('Phase designation'!H22=2,BE16=0),Sheet1!J4+Sheet1!AD4+Sheet1!AG4,0)</f>
        <v>1422</v>
      </c>
      <c r="BD24" s="77">
        <f>IF(OR('Phase designation'!H22=1,'Phase designation'!H22=3),Sheet1!J4+Sheet1!AD4+Sheet1!AG4,0)</f>
        <v>0</v>
      </c>
      <c r="BE24" s="77">
        <f>IF(OR(BC20&gt;0,BC21&gt;0),Sheet1!J4+Sheet1!AD4+Sheet1!AG4,0)</f>
        <v>0</v>
      </c>
    </row>
    <row r="25" spans="2:57" s="283" customFormat="1">
      <c r="B25" s="283" t="s">
        <v>164</v>
      </c>
      <c r="C25" s="257">
        <v>1</v>
      </c>
      <c r="D25" s="257">
        <v>1</v>
      </c>
      <c r="E25" s="257">
        <v>1</v>
      </c>
      <c r="T25" s="283" t="s">
        <v>164</v>
      </c>
      <c r="U25" s="257">
        <v>1</v>
      </c>
      <c r="V25" s="257">
        <v>1</v>
      </c>
      <c r="W25" s="257">
        <v>1</v>
      </c>
      <c r="AK25" s="283" t="s">
        <v>164</v>
      </c>
      <c r="AL25" s="257">
        <v>1</v>
      </c>
      <c r="AM25" s="257">
        <v>1</v>
      </c>
      <c r="AN25" s="257">
        <v>1</v>
      </c>
      <c r="BB25" s="283" t="s">
        <v>164</v>
      </c>
      <c r="BC25" s="257">
        <v>1</v>
      </c>
      <c r="BD25" s="257">
        <v>1</v>
      </c>
      <c r="BE25" s="257">
        <v>1</v>
      </c>
    </row>
    <row r="26" spans="2:57" s="62" customFormat="1">
      <c r="B26" s="62" t="s">
        <v>166</v>
      </c>
      <c r="C26" s="77">
        <f>Sheet1!O5</f>
        <v>2</v>
      </c>
      <c r="D26" s="77">
        <f>C26</f>
        <v>2</v>
      </c>
      <c r="E26" s="77">
        <f>C26</f>
        <v>2</v>
      </c>
      <c r="T26" s="62" t="s">
        <v>166</v>
      </c>
      <c r="U26" s="77">
        <f>Sheet1!T5</f>
        <v>3</v>
      </c>
      <c r="V26" s="77">
        <f>U26</f>
        <v>3</v>
      </c>
      <c r="W26" s="77">
        <f>U26</f>
        <v>3</v>
      </c>
      <c r="AK26" s="62" t="s">
        <v>166</v>
      </c>
      <c r="AL26" s="77">
        <f>Sheet1!E5+Sheet1!X5+Sheet1!AA5</f>
        <v>3</v>
      </c>
      <c r="AM26" s="77">
        <f>AL26</f>
        <v>3</v>
      </c>
      <c r="AN26" s="77">
        <f>AL26</f>
        <v>3</v>
      </c>
      <c r="BB26" s="62" t="s">
        <v>166</v>
      </c>
      <c r="BC26" s="77">
        <f>Sheet1!J5+Sheet1!AD5+Sheet1!AG5</f>
        <v>3</v>
      </c>
      <c r="BD26" s="77">
        <f>BC26</f>
        <v>3</v>
      </c>
      <c r="BE26" s="77">
        <f>BC26</f>
        <v>3</v>
      </c>
    </row>
    <row r="27" spans="2:57" s="283" customFormat="1">
      <c r="B27" s="283" t="s">
        <v>165</v>
      </c>
      <c r="C27" s="257">
        <f>IF(C24=0,0,(D8+C24)/C25)</f>
        <v>0</v>
      </c>
      <c r="D27" s="257">
        <f>IF(D24=0,0,(D8+D24)/D25)</f>
        <v>0</v>
      </c>
      <c r="E27" s="257">
        <f>IF(E24=0,0,(D8+E24+E16)/E25)</f>
        <v>0</v>
      </c>
      <c r="T27" s="283" t="s">
        <v>165</v>
      </c>
      <c r="U27" s="257">
        <f>IF(U24=0,0,(V8+U24)/U25)</f>
        <v>0</v>
      </c>
      <c r="V27" s="257">
        <f>IF(V24=0,0,(V8+V24)/V25)</f>
        <v>1</v>
      </c>
      <c r="W27" s="257">
        <f>IF(W24=0,0,(V8+W24+W16)/W25)</f>
        <v>0</v>
      </c>
      <c r="AK27" s="283" t="s">
        <v>165</v>
      </c>
      <c r="AL27" s="257">
        <f>IF(AL24=0,0,(AM8+AL24)/AL25)</f>
        <v>738</v>
      </c>
      <c r="AM27" s="257">
        <f>IF(AM24=0,0,(AM8+AM24)/AM25)</f>
        <v>0</v>
      </c>
      <c r="AN27" s="257">
        <f>IF(AN24=0,0,(AM8+AN24+AN16)/AN25)</f>
        <v>0</v>
      </c>
      <c r="BB27" s="283" t="s">
        <v>165</v>
      </c>
      <c r="BC27" s="257">
        <f>IF(BC24=0,0,(BD8+BC24)/BC25)</f>
        <v>1422</v>
      </c>
      <c r="BD27" s="257">
        <f>IF(BD24=0,0,(BD8+BD24)/BD25)</f>
        <v>0</v>
      </c>
      <c r="BE27" s="257">
        <f>IF(BE24=0,0,(BD8+BE24+BE16)/BE25)</f>
        <v>0</v>
      </c>
    </row>
    <row r="28" spans="2:57" s="62" customFormat="1"/>
    <row r="29" spans="2:57" s="283" customFormat="1" ht="30" customHeight="1">
      <c r="B29" s="295" t="s">
        <v>179</v>
      </c>
      <c r="C29" s="294" t="s">
        <v>176</v>
      </c>
      <c r="D29" s="294" t="s">
        <v>177</v>
      </c>
      <c r="E29" s="294" t="s">
        <v>178</v>
      </c>
      <c r="T29" s="295" t="s">
        <v>179</v>
      </c>
      <c r="U29" s="294" t="s">
        <v>176</v>
      </c>
      <c r="V29" s="294" t="s">
        <v>177</v>
      </c>
      <c r="W29" s="294" t="s">
        <v>178</v>
      </c>
      <c r="AK29" s="295" t="s">
        <v>179</v>
      </c>
      <c r="AL29" s="294" t="s">
        <v>176</v>
      </c>
      <c r="AM29" s="294" t="s">
        <v>177</v>
      </c>
      <c r="AN29" s="294" t="s">
        <v>178</v>
      </c>
      <c r="BB29" s="295" t="s">
        <v>179</v>
      </c>
      <c r="BC29" s="294" t="s">
        <v>176</v>
      </c>
      <c r="BD29" s="294" t="s">
        <v>177</v>
      </c>
      <c r="BE29" s="294" t="s">
        <v>178</v>
      </c>
    </row>
    <row r="30" spans="2:57" s="62" customFormat="1">
      <c r="B30" s="62" t="s">
        <v>181</v>
      </c>
      <c r="C30" s="77">
        <f>IF(C26&gt;0,ROUND(C27/C26,0),0)</f>
        <v>0</v>
      </c>
      <c r="D30" s="77">
        <f>IF(D26&gt;0,ROUND(D27/D26,0),0)</f>
        <v>0</v>
      </c>
      <c r="E30" s="77">
        <f>IF(E26&gt;0,ROUND(E27/E26,0),0)</f>
        <v>0</v>
      </c>
      <c r="T30" s="62" t="s">
        <v>181</v>
      </c>
      <c r="U30" s="77">
        <f>IF(U26&gt;0,ROUND(U27/U26,0),0)</f>
        <v>0</v>
      </c>
      <c r="V30" s="77">
        <f>IF(V26&gt;0,ROUND(V27/V26,0),0)</f>
        <v>0</v>
      </c>
      <c r="W30" s="77">
        <f>IF(W26&gt;0,ROUND(W27/W26,0),0)</f>
        <v>0</v>
      </c>
      <c r="AK30" s="62" t="s">
        <v>181</v>
      </c>
      <c r="AL30" s="77">
        <f>IF(AL26&gt;0,ROUND(AL27/AL26,0),0)</f>
        <v>246</v>
      </c>
      <c r="AM30" s="77">
        <f>IF(AM26&gt;0,ROUND(AM27/AM26,0),0)</f>
        <v>0</v>
      </c>
      <c r="AN30" s="77">
        <f>IF(AN26&gt;0,ROUND(AN27/AN26,0),0)</f>
        <v>0</v>
      </c>
      <c r="BB30" s="62" t="s">
        <v>181</v>
      </c>
      <c r="BC30" s="77">
        <f>IF(BC26&gt;0,ROUND(BC27/BC26,0),0)</f>
        <v>474</v>
      </c>
      <c r="BD30" s="77">
        <f>IF(BD26&gt;0,ROUND(BD27/BD26,0),0)</f>
        <v>0</v>
      </c>
      <c r="BE30" s="77">
        <f>IF(BE26&gt;0,ROUND(BE27/BE26,0),0)</f>
        <v>0</v>
      </c>
    </row>
    <row r="31" spans="2:57" s="283" customFormat="1" ht="30" customHeight="1">
      <c r="B31" s="296" t="s">
        <v>180</v>
      </c>
      <c r="C31" s="294">
        <f>IF(C30=0,0,MAX(C30,C8,E16))</f>
        <v>0</v>
      </c>
      <c r="D31" s="294">
        <f>IF(D30=0,0,MAX(D30,C8,E16))</f>
        <v>0</v>
      </c>
      <c r="E31" s="294">
        <f>IF(E30=0,0,MAX(E30,C8,E16))</f>
        <v>0</v>
      </c>
      <c r="T31" s="296" t="s">
        <v>180</v>
      </c>
      <c r="U31" s="294">
        <f>IF(U30=0,0,MAX(U30,U8,W16))</f>
        <v>0</v>
      </c>
      <c r="V31" s="294">
        <f>IF(V30=0,0,MAX(V30,U8,W16))</f>
        <v>0</v>
      </c>
      <c r="W31" s="294">
        <f>IF(W30=0,0,MAX(W30,U8,W16))</f>
        <v>0</v>
      </c>
      <c r="AK31" s="296" t="s">
        <v>180</v>
      </c>
      <c r="AL31" s="294">
        <f>IF(AL30=0,0,MAX(AL30,AL8,AN16))</f>
        <v>246</v>
      </c>
      <c r="AM31" s="294">
        <f>IF(AM30=0,0,MAX(AM30,AL8,AN16))</f>
        <v>0</v>
      </c>
      <c r="AN31" s="294">
        <f>IF(AN30=0,0,MAX(AN30,AL8,AN16))</f>
        <v>0</v>
      </c>
      <c r="BB31" s="296" t="s">
        <v>180</v>
      </c>
      <c r="BC31" s="294">
        <f>IF(BC30=0,0,MAX(BC30,BC8,BE16))</f>
        <v>474</v>
      </c>
      <c r="BD31" s="294">
        <f>IF(BD30=0,0,MAX(BD30,BC8,BE16))</f>
        <v>0</v>
      </c>
      <c r="BE31" s="294">
        <f>IF(BE30=0,0,MAX(BE30,BC8,BE16))</f>
        <v>0</v>
      </c>
    </row>
    <row r="32" spans="2:57" s="62" customFormat="1"/>
    <row r="33" spans="2:69" s="283" customFormat="1" ht="30" customHeight="1">
      <c r="B33" s="295" t="s">
        <v>200</v>
      </c>
      <c r="C33" s="294" t="s">
        <v>176</v>
      </c>
      <c r="D33" s="294" t="s">
        <v>177</v>
      </c>
      <c r="E33" s="294" t="s">
        <v>178</v>
      </c>
      <c r="T33" s="295" t="s">
        <v>200</v>
      </c>
      <c r="U33" s="294" t="s">
        <v>176</v>
      </c>
      <c r="V33" s="294" t="s">
        <v>177</v>
      </c>
      <c r="W33" s="294" t="s">
        <v>178</v>
      </c>
      <c r="AK33" s="295" t="s">
        <v>200</v>
      </c>
      <c r="AL33" s="294" t="s">
        <v>176</v>
      </c>
      <c r="AM33" s="294" t="s">
        <v>177</v>
      </c>
      <c r="AN33" s="294" t="s">
        <v>178</v>
      </c>
      <c r="BB33" s="295" t="s">
        <v>200</v>
      </c>
      <c r="BC33" s="294" t="s">
        <v>176</v>
      </c>
      <c r="BD33" s="294" t="s">
        <v>177</v>
      </c>
      <c r="BE33" s="294" t="s">
        <v>178</v>
      </c>
    </row>
    <row r="34" spans="2:69" s="62" customFormat="1">
      <c r="B34" s="62" t="s">
        <v>183</v>
      </c>
      <c r="C34" s="77">
        <f>MAX(D56:D57)</f>
        <v>1</v>
      </c>
      <c r="D34" s="77">
        <v>0</v>
      </c>
      <c r="E34" s="77">
        <v>0</v>
      </c>
      <c r="T34" s="62" t="s">
        <v>183</v>
      </c>
      <c r="U34" s="77">
        <f>MAX(V56:V57)</f>
        <v>1</v>
      </c>
      <c r="V34" s="77">
        <v>0</v>
      </c>
      <c r="W34" s="77">
        <v>0</v>
      </c>
      <c r="AK34" s="62" t="s">
        <v>183</v>
      </c>
      <c r="AL34" s="77">
        <f>MAX(AM56:AM57)</f>
        <v>1</v>
      </c>
      <c r="AM34" s="77">
        <v>0</v>
      </c>
      <c r="AN34" s="77">
        <v>0</v>
      </c>
      <c r="BB34" s="62" t="s">
        <v>183</v>
      </c>
      <c r="BC34" s="77">
        <f>MAX(BD56:BD57)</f>
        <v>1</v>
      </c>
      <c r="BD34" s="77">
        <v>0</v>
      </c>
      <c r="BE34" s="77">
        <v>0</v>
      </c>
    </row>
    <row r="35" spans="2:69" s="283" customFormat="1">
      <c r="B35" s="283" t="s">
        <v>184</v>
      </c>
      <c r="C35" s="257">
        <f>IF(Sheet1!O6=0,INDEX(C42:Q43,2,C44+1),INDEX(C42:Q43,1,C44+1))</f>
        <v>2.2999999999999998</v>
      </c>
      <c r="D35" s="257">
        <v>0</v>
      </c>
      <c r="E35" s="257">
        <v>0</v>
      </c>
      <c r="T35" s="283" t="s">
        <v>184</v>
      </c>
      <c r="U35" s="257">
        <f>IF(Sheet1!T6=0,INDEX(U42:AI43,2,U44+1),INDEX(U42:AI43,1,U44+1))</f>
        <v>1.6</v>
      </c>
      <c r="V35" s="257">
        <v>0</v>
      </c>
      <c r="W35" s="257">
        <v>0</v>
      </c>
      <c r="AK35" s="283" t="s">
        <v>184</v>
      </c>
      <c r="AL35" s="257">
        <f>IF(Sheet1!E6=0,INDEX(AL42:AZ43,2,AL44+1),INDEX(AL42:AZ43,1,AL44+1))</f>
        <v>7.38</v>
      </c>
      <c r="AM35" s="257">
        <v>0</v>
      </c>
      <c r="AN35" s="257">
        <v>0</v>
      </c>
      <c r="BB35" s="283" t="s">
        <v>184</v>
      </c>
      <c r="BC35" s="257">
        <f>IF(Sheet1!J6=0,INDEX(BC42:BQ43,2,BC44+1),INDEX(BC42:BQ43,1,BC44+1))</f>
        <v>3.3</v>
      </c>
      <c r="BD35" s="257">
        <v>0</v>
      </c>
      <c r="BE35" s="257">
        <v>0</v>
      </c>
    </row>
    <row r="36" spans="2:69" s="62" customFormat="1">
      <c r="B36" s="62" t="s">
        <v>185</v>
      </c>
      <c r="C36" s="77">
        <f>IF(Sheet1!O6=0,1,MIN('Lane volumes'!E49,'Lane volumes'!E52))</f>
        <v>1</v>
      </c>
      <c r="D36" s="77">
        <f>IF(Sheet1!O6=0,1,E52)</f>
        <v>1</v>
      </c>
      <c r="E36" s="77">
        <v>1</v>
      </c>
      <c r="T36" s="62" t="s">
        <v>185</v>
      </c>
      <c r="U36" s="77">
        <f>IF(Sheet1!T6=0,1,MIN('Lane volumes'!W49,'Lane volumes'!W52))</f>
        <v>1</v>
      </c>
      <c r="V36" s="77">
        <f>IF(Sheet1!T6=0,1,W52)</f>
        <v>1</v>
      </c>
      <c r="W36" s="77">
        <v>1</v>
      </c>
      <c r="AK36" s="62" t="s">
        <v>185</v>
      </c>
      <c r="AL36" s="77">
        <f>IF(Sheet1!E6=0,1,MIN('Lane volumes'!AN49,'Lane volumes'!AN52))</f>
        <v>1</v>
      </c>
      <c r="AM36" s="77">
        <f>IF(Sheet1!E6=0,1,AN52)</f>
        <v>1</v>
      </c>
      <c r="AN36" s="77">
        <v>1</v>
      </c>
      <c r="BB36" s="62" t="s">
        <v>185</v>
      </c>
      <c r="BC36" s="77">
        <f>IF(Sheet1!J6=0,1,MIN('Lane volumes'!BE49,'Lane volumes'!BE52))</f>
        <v>1</v>
      </c>
      <c r="BD36" s="77">
        <f>IF(Sheet1!J6=0,1,BE52)</f>
        <v>1</v>
      </c>
      <c r="BE36" s="77">
        <v>1</v>
      </c>
    </row>
    <row r="37" spans="2:69" s="283" customFormat="1">
      <c r="B37" s="283" t="s">
        <v>181</v>
      </c>
      <c r="C37" s="257">
        <f>IF(C36=1,0,C27/(C26*C36))</f>
        <v>0</v>
      </c>
      <c r="D37" s="257">
        <f>IF(D36=1,0,D27/(D26*D36))</f>
        <v>0</v>
      </c>
      <c r="E37" s="257">
        <f>IF(E36=1,0,E27/(E26*E36))</f>
        <v>0</v>
      </c>
      <c r="T37" s="283" t="s">
        <v>181</v>
      </c>
      <c r="U37" s="257">
        <f>IF(U36=1,0,U27/(U26*U36))</f>
        <v>0</v>
      </c>
      <c r="V37" s="257">
        <f>IF(V36=1,0,V27/(V26*V36))</f>
        <v>0</v>
      </c>
      <c r="W37" s="257">
        <f>IF(W36=1,0,W27/(W26*W36))</f>
        <v>0</v>
      </c>
      <c r="AK37" s="283" t="s">
        <v>181</v>
      </c>
      <c r="AL37" s="257">
        <f>IF(AL36=1,0,AL27/(AL26*AL36))</f>
        <v>0</v>
      </c>
      <c r="AM37" s="257">
        <f>IF(AM36=1,0,AM27/(AM26*AM36))</f>
        <v>0</v>
      </c>
      <c r="AN37" s="257">
        <f>IF(AN36=1,0,AN27/(AN26*AN36))</f>
        <v>0</v>
      </c>
      <c r="BB37" s="283" t="s">
        <v>181</v>
      </c>
      <c r="BC37" s="257">
        <f>IF(BC36=1,0,BC27/(BC26*BC36))</f>
        <v>0</v>
      </c>
      <c r="BD37" s="257">
        <f>IF(BD36=1,0,BD27/(BD26*BD36))</f>
        <v>0</v>
      </c>
      <c r="BE37" s="257">
        <f>IF(BE36=1,0,BE27/(BE26*BE36))</f>
        <v>0</v>
      </c>
    </row>
    <row r="38" spans="2:69" s="62" customFormat="1" ht="30" customHeight="1">
      <c r="B38" s="291" t="s">
        <v>182</v>
      </c>
      <c r="C38" s="290">
        <f>IF(C37=0,0,MAX($C$8,C37))</f>
        <v>0</v>
      </c>
      <c r="D38" s="290">
        <f>IF(D37=0,0,MAX($C$8,D37))</f>
        <v>0</v>
      </c>
      <c r="E38" s="290">
        <f>IF(E37=0,0,MAX($C$8,E37))</f>
        <v>0</v>
      </c>
      <c r="T38" s="291" t="s">
        <v>182</v>
      </c>
      <c r="U38" s="290">
        <f>IF(U37=0,0,MAX($C$8,U37))</f>
        <v>0</v>
      </c>
      <c r="V38" s="290">
        <f>IF(V37=0,0,MAX($C$8,V37))</f>
        <v>0</v>
      </c>
      <c r="W38" s="290">
        <f>IF(W37=0,0,MAX($C$8,W37))</f>
        <v>0</v>
      </c>
      <c r="AK38" s="291" t="s">
        <v>182</v>
      </c>
      <c r="AL38" s="290">
        <f>IF(AL37=0,0,MAX($C$8,AL37))</f>
        <v>0</v>
      </c>
      <c r="AM38" s="290">
        <f>IF(AM37=0,0,MAX($C$8,AM37))</f>
        <v>0</v>
      </c>
      <c r="AN38" s="290">
        <f>IF(AN37=0,0,MAX($C$8,AN37))</f>
        <v>0</v>
      </c>
      <c r="BB38" s="291" t="s">
        <v>182</v>
      </c>
      <c r="BC38" s="290">
        <f>IF(BC37=0,0,MAX($C$8,BC37))</f>
        <v>0</v>
      </c>
      <c r="BD38" s="290">
        <f>IF(BD37=0,0,MAX($C$8,BD37))</f>
        <v>0</v>
      </c>
      <c r="BE38" s="290">
        <f>IF(BE37=0,0,MAX($C$8,BE37))</f>
        <v>0</v>
      </c>
    </row>
    <row r="39" spans="2:69" s="283" customFormat="1"/>
    <row r="40" spans="2:69" s="62" customFormat="1" hidden="1">
      <c r="C40" s="516" t="s">
        <v>187</v>
      </c>
      <c r="D40" s="516"/>
      <c r="E40" s="516"/>
      <c r="F40" s="516"/>
      <c r="G40" s="516"/>
      <c r="H40" s="516"/>
      <c r="I40" s="516"/>
      <c r="U40" s="516" t="s">
        <v>187</v>
      </c>
      <c r="V40" s="516"/>
      <c r="W40" s="516"/>
      <c r="X40" s="516"/>
      <c r="Y40" s="516"/>
      <c r="Z40" s="516"/>
      <c r="AA40" s="516"/>
      <c r="AL40" s="516" t="s">
        <v>187</v>
      </c>
      <c r="AM40" s="516"/>
      <c r="AN40" s="516"/>
      <c r="AO40" s="516"/>
      <c r="AP40" s="516"/>
      <c r="AQ40" s="516"/>
      <c r="AR40" s="516"/>
      <c r="BC40" s="516" t="s">
        <v>187</v>
      </c>
      <c r="BD40" s="516"/>
      <c r="BE40" s="516"/>
      <c r="BF40" s="516"/>
      <c r="BG40" s="516"/>
      <c r="BH40" s="516"/>
      <c r="BI40" s="516"/>
    </row>
    <row r="41" spans="2:69" s="62" customFormat="1" hidden="1">
      <c r="B41" s="62" t="s">
        <v>188</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188</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188</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188</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c r="B42" s="62" t="s">
        <v>37</v>
      </c>
      <c r="C42" s="77">
        <v>1.4</v>
      </c>
      <c r="D42" s="77">
        <v>1.7</v>
      </c>
      <c r="E42" s="77">
        <v>2.1</v>
      </c>
      <c r="F42" s="77">
        <v>2.5</v>
      </c>
      <c r="G42" s="77">
        <v>3.1</v>
      </c>
      <c r="H42" s="77">
        <v>3.7</v>
      </c>
      <c r="I42" s="77">
        <v>4.5</v>
      </c>
      <c r="J42" s="77">
        <f>ROUND((1750/J44)-J46,2)</f>
        <v>6.29</v>
      </c>
      <c r="K42" s="77">
        <f t="shared" ref="K42:Q42" si="0">ROUND((1750/K44)-K46,2)</f>
        <v>6.29</v>
      </c>
      <c r="L42" s="77">
        <f t="shared" si="0"/>
        <v>6.29</v>
      </c>
      <c r="M42" s="77">
        <f t="shared" si="0"/>
        <v>6.29</v>
      </c>
      <c r="N42" s="77">
        <f t="shared" si="0"/>
        <v>6.29</v>
      </c>
      <c r="O42" s="77">
        <f t="shared" si="0"/>
        <v>6.29</v>
      </c>
      <c r="P42" s="77">
        <f t="shared" si="0"/>
        <v>6.29</v>
      </c>
      <c r="Q42" s="77">
        <f t="shared" si="0"/>
        <v>6.29</v>
      </c>
      <c r="T42" s="62" t="s">
        <v>37</v>
      </c>
      <c r="U42" s="77">
        <v>1.4</v>
      </c>
      <c r="V42" s="77">
        <v>1.7</v>
      </c>
      <c r="W42" s="77">
        <v>2.1</v>
      </c>
      <c r="X42" s="77">
        <v>2.5</v>
      </c>
      <c r="Y42" s="77">
        <v>3.1</v>
      </c>
      <c r="Z42" s="77">
        <v>3.7</v>
      </c>
      <c r="AA42" s="77">
        <v>4.5</v>
      </c>
      <c r="AB42" s="77">
        <f>ROUND((1750/AB44)-AB46,2)</f>
        <v>20.350000000000001</v>
      </c>
      <c r="AC42" s="77">
        <f t="shared" ref="AC42:AI42" si="1">ROUND((1750/AC44)-AC46,2)</f>
        <v>20.350000000000001</v>
      </c>
      <c r="AD42" s="77">
        <f t="shared" si="1"/>
        <v>20.350000000000001</v>
      </c>
      <c r="AE42" s="77">
        <f t="shared" si="1"/>
        <v>20.350000000000001</v>
      </c>
      <c r="AF42" s="77">
        <f t="shared" si="1"/>
        <v>20.350000000000001</v>
      </c>
      <c r="AG42" s="77">
        <f t="shared" si="1"/>
        <v>20.350000000000001</v>
      </c>
      <c r="AH42" s="77">
        <f t="shared" si="1"/>
        <v>20.350000000000001</v>
      </c>
      <c r="AI42" s="77">
        <f t="shared" si="1"/>
        <v>20.350000000000001</v>
      </c>
      <c r="AK42" s="62" t="s">
        <v>37</v>
      </c>
      <c r="AL42" s="77">
        <v>1.4</v>
      </c>
      <c r="AM42" s="77">
        <v>1.7</v>
      </c>
      <c r="AN42" s="77">
        <v>2.1</v>
      </c>
      <c r="AO42" s="77">
        <v>2.5</v>
      </c>
      <c r="AP42" s="77">
        <v>3.1</v>
      </c>
      <c r="AQ42" s="77">
        <v>3.7</v>
      </c>
      <c r="AR42" s="77">
        <v>4.5</v>
      </c>
      <c r="AS42" s="77">
        <f>ROUND((1750/AS44)-AS46,2)</f>
        <v>7.38</v>
      </c>
      <c r="AT42" s="77">
        <f t="shared" ref="AT42:AZ42" si="2">ROUND((1750/AT44)-AT46,2)</f>
        <v>7.38</v>
      </c>
      <c r="AU42" s="77">
        <f t="shared" si="2"/>
        <v>7.38</v>
      </c>
      <c r="AV42" s="77">
        <f t="shared" si="2"/>
        <v>7.38</v>
      </c>
      <c r="AW42" s="77">
        <f t="shared" si="2"/>
        <v>7.38</v>
      </c>
      <c r="AX42" s="77">
        <f t="shared" si="2"/>
        <v>7.38</v>
      </c>
      <c r="AY42" s="77">
        <f t="shared" si="2"/>
        <v>7.38</v>
      </c>
      <c r="AZ42" s="77">
        <f t="shared" si="2"/>
        <v>7.38</v>
      </c>
      <c r="BB42" s="62" t="s">
        <v>37</v>
      </c>
      <c r="BC42" s="77">
        <v>1.4</v>
      </c>
      <c r="BD42" s="77">
        <v>1.7</v>
      </c>
      <c r="BE42" s="77">
        <v>2.1</v>
      </c>
      <c r="BF42" s="77">
        <v>2.5</v>
      </c>
      <c r="BG42" s="77">
        <v>3.1</v>
      </c>
      <c r="BH42" s="77">
        <v>3.7</v>
      </c>
      <c r="BI42" s="77">
        <v>4.5</v>
      </c>
      <c r="BJ42" s="77">
        <f>ROUND((1750/BJ44)-BJ46,2)</f>
        <v>5.97</v>
      </c>
      <c r="BK42" s="77">
        <f t="shared" ref="BK42:BQ42" si="3">ROUND((1750/BK44)-BK46,2)</f>
        <v>5.97</v>
      </c>
      <c r="BL42" s="77">
        <f t="shared" si="3"/>
        <v>5.97</v>
      </c>
      <c r="BM42" s="77">
        <f t="shared" si="3"/>
        <v>5.97</v>
      </c>
      <c r="BN42" s="77">
        <f t="shared" si="3"/>
        <v>5.97</v>
      </c>
      <c r="BO42" s="77">
        <f t="shared" si="3"/>
        <v>5.97</v>
      </c>
      <c r="BP42" s="77">
        <f t="shared" si="3"/>
        <v>5.97</v>
      </c>
      <c r="BQ42" s="77">
        <f t="shared" si="3"/>
        <v>5.97</v>
      </c>
    </row>
    <row r="43" spans="2:69" s="62" customFormat="1" hidden="1">
      <c r="B43" s="62" t="s">
        <v>186</v>
      </c>
      <c r="C43" s="77">
        <v>1.3</v>
      </c>
      <c r="D43" s="77">
        <v>1.6</v>
      </c>
      <c r="E43" s="77">
        <v>1.9</v>
      </c>
      <c r="F43" s="77">
        <v>2.2999999999999998</v>
      </c>
      <c r="G43" s="77">
        <v>2.8</v>
      </c>
      <c r="H43" s="77">
        <v>3.3</v>
      </c>
      <c r="I43" s="77">
        <v>4</v>
      </c>
      <c r="J43" s="77">
        <f>ROUND((1750/J44)-J46,2)</f>
        <v>6.29</v>
      </c>
      <c r="K43" s="77">
        <f t="shared" ref="K43:Q43" si="4">ROUND((1750/K44)-K46,2)</f>
        <v>6.29</v>
      </c>
      <c r="L43" s="77">
        <f t="shared" si="4"/>
        <v>6.29</v>
      </c>
      <c r="M43" s="77">
        <f t="shared" si="4"/>
        <v>6.29</v>
      </c>
      <c r="N43" s="77">
        <f t="shared" si="4"/>
        <v>6.29</v>
      </c>
      <c r="O43" s="77">
        <f t="shared" si="4"/>
        <v>6.29</v>
      </c>
      <c r="P43" s="77">
        <f t="shared" si="4"/>
        <v>6.29</v>
      </c>
      <c r="Q43" s="77">
        <f t="shared" si="4"/>
        <v>6.29</v>
      </c>
      <c r="T43" s="62" t="s">
        <v>186</v>
      </c>
      <c r="U43" s="77">
        <v>1.3</v>
      </c>
      <c r="V43" s="77">
        <v>1.6</v>
      </c>
      <c r="W43" s="77">
        <v>1.9</v>
      </c>
      <c r="X43" s="77">
        <v>2.2999999999999998</v>
      </c>
      <c r="Y43" s="77">
        <v>2.8</v>
      </c>
      <c r="Z43" s="77">
        <v>3.3</v>
      </c>
      <c r="AA43" s="77">
        <v>4</v>
      </c>
      <c r="AB43" s="77">
        <f t="shared" ref="AB43:AI43" si="5">ROUND((1750/AB44)-AB46,2)</f>
        <v>20.350000000000001</v>
      </c>
      <c r="AC43" s="77">
        <f t="shared" si="5"/>
        <v>20.350000000000001</v>
      </c>
      <c r="AD43" s="77">
        <f t="shared" si="5"/>
        <v>20.350000000000001</v>
      </c>
      <c r="AE43" s="77">
        <f t="shared" si="5"/>
        <v>20.350000000000001</v>
      </c>
      <c r="AF43" s="77">
        <f t="shared" si="5"/>
        <v>20.350000000000001</v>
      </c>
      <c r="AG43" s="77">
        <f t="shared" si="5"/>
        <v>20.350000000000001</v>
      </c>
      <c r="AH43" s="77">
        <f t="shared" si="5"/>
        <v>20.350000000000001</v>
      </c>
      <c r="AI43" s="77">
        <f t="shared" si="5"/>
        <v>20.350000000000001</v>
      </c>
      <c r="AK43" s="62" t="s">
        <v>186</v>
      </c>
      <c r="AL43" s="77">
        <v>1.3</v>
      </c>
      <c r="AM43" s="77">
        <v>1.6</v>
      </c>
      <c r="AN43" s="77">
        <v>1.9</v>
      </c>
      <c r="AO43" s="77">
        <v>2.2999999999999998</v>
      </c>
      <c r="AP43" s="77">
        <v>2.8</v>
      </c>
      <c r="AQ43" s="77">
        <v>3.3</v>
      </c>
      <c r="AR43" s="77">
        <v>4</v>
      </c>
      <c r="AS43" s="77">
        <f t="shared" ref="AS43:AZ43" si="6">ROUND((1750/AS44)-AS46,2)</f>
        <v>7.38</v>
      </c>
      <c r="AT43" s="77">
        <f t="shared" si="6"/>
        <v>7.38</v>
      </c>
      <c r="AU43" s="77">
        <f t="shared" si="6"/>
        <v>7.38</v>
      </c>
      <c r="AV43" s="77">
        <f t="shared" si="6"/>
        <v>7.38</v>
      </c>
      <c r="AW43" s="77">
        <f t="shared" si="6"/>
        <v>7.38</v>
      </c>
      <c r="AX43" s="77">
        <f t="shared" si="6"/>
        <v>7.38</v>
      </c>
      <c r="AY43" s="77">
        <f t="shared" si="6"/>
        <v>7.38</v>
      </c>
      <c r="AZ43" s="77">
        <f t="shared" si="6"/>
        <v>7.38</v>
      </c>
      <c r="BB43" s="62" t="s">
        <v>186</v>
      </c>
      <c r="BC43" s="77">
        <v>1.3</v>
      </c>
      <c r="BD43" s="77">
        <v>1.6</v>
      </c>
      <c r="BE43" s="77">
        <v>1.9</v>
      </c>
      <c r="BF43" s="77">
        <v>2.2999999999999998</v>
      </c>
      <c r="BG43" s="77">
        <v>2.8</v>
      </c>
      <c r="BH43" s="77">
        <v>3.3</v>
      </c>
      <c r="BI43" s="77">
        <v>4</v>
      </c>
      <c r="BJ43" s="77">
        <f t="shared" ref="BJ43:BQ43" si="7">ROUND((1750/BJ44)-BJ46,2)</f>
        <v>5.97</v>
      </c>
      <c r="BK43" s="77">
        <f t="shared" si="7"/>
        <v>5.97</v>
      </c>
      <c r="BL43" s="77">
        <f t="shared" si="7"/>
        <v>5.97</v>
      </c>
      <c r="BM43" s="77">
        <f t="shared" si="7"/>
        <v>5.97</v>
      </c>
      <c r="BN43" s="77">
        <f t="shared" si="7"/>
        <v>5.97</v>
      </c>
      <c r="BO43" s="77">
        <f t="shared" si="7"/>
        <v>5.97</v>
      </c>
      <c r="BP43" s="77">
        <f t="shared" si="7"/>
        <v>5.97</v>
      </c>
      <c r="BQ43" s="77">
        <f t="shared" si="7"/>
        <v>5.97</v>
      </c>
    </row>
    <row r="44" spans="2:69" s="62" customFormat="1" hidden="1">
      <c r="C44" s="293">
        <f>IF(C12&gt;0,MATCH($C$12,$C$41:$Q$41),0)</f>
        <v>3</v>
      </c>
      <c r="I44" s="77" t="s">
        <v>189</v>
      </c>
      <c r="J44" s="77">
        <f>ROUND(($C$12*EXP(-1*$C$12*4.5/3600))/(1-EXP(-1*$C$12*J45)),0)</f>
        <v>278</v>
      </c>
      <c r="K44" s="77">
        <f t="shared" ref="K44:Q44" si="8">ROUND(($C$12*EXP(-1*$C$12*4.5/3600))/(1-EXP(-1*$C$12*K45)),0)</f>
        <v>278</v>
      </c>
      <c r="L44" s="77">
        <f t="shared" si="8"/>
        <v>278</v>
      </c>
      <c r="M44" s="77">
        <f t="shared" si="8"/>
        <v>278</v>
      </c>
      <c r="N44" s="77">
        <f t="shared" si="8"/>
        <v>278</v>
      </c>
      <c r="O44" s="77">
        <f t="shared" si="8"/>
        <v>278</v>
      </c>
      <c r="P44" s="77">
        <f t="shared" si="8"/>
        <v>278</v>
      </c>
      <c r="Q44" s="77">
        <f t="shared" si="8"/>
        <v>278</v>
      </c>
      <c r="U44" s="293">
        <f>IF(U12&gt;0,MATCH($U$12,$U$41:$AI$41),0)</f>
        <v>1</v>
      </c>
      <c r="AA44" s="77" t="s">
        <v>189</v>
      </c>
      <c r="AB44" s="77">
        <f>ROUND(($U$12*EXP(-1*$U$12*4.5/3600))/(1-EXP(-1*$U$12*AB45)),0)</f>
        <v>86</v>
      </c>
      <c r="AC44" s="77">
        <f t="shared" ref="AC44:AI44" si="9">ROUND(($U$12*EXP(-1*$U$12*4.5/3600))/(1-EXP(-1*$U$12*AC45)),0)</f>
        <v>86</v>
      </c>
      <c r="AD44" s="77">
        <f t="shared" si="9"/>
        <v>86</v>
      </c>
      <c r="AE44" s="77">
        <f t="shared" si="9"/>
        <v>86</v>
      </c>
      <c r="AF44" s="77">
        <f t="shared" si="9"/>
        <v>86</v>
      </c>
      <c r="AG44" s="77">
        <f t="shared" si="9"/>
        <v>86</v>
      </c>
      <c r="AH44" s="77">
        <f t="shared" si="9"/>
        <v>86</v>
      </c>
      <c r="AI44" s="77">
        <f t="shared" si="9"/>
        <v>86</v>
      </c>
      <c r="AL44" s="293">
        <f>IF(AL12&gt;0,MATCH($AL$12,$AL$41:$AZ$41),0)</f>
        <v>9</v>
      </c>
      <c r="AR44" s="77" t="s">
        <v>189</v>
      </c>
      <c r="AS44" s="77">
        <f>ROUND(($AL$12*EXP(-1*$AL$12*4.5/3600))/(1-EXP(-1*$AL$12*AS45)),0)</f>
        <v>237</v>
      </c>
      <c r="AT44" s="77">
        <f t="shared" ref="AT44:AZ44" si="10">ROUND(($AL$12*EXP(-1*$AL$12*4.5/3600))/(1-EXP(-1*$AL$12*AT45)),0)</f>
        <v>237</v>
      </c>
      <c r="AU44" s="77">
        <f t="shared" si="10"/>
        <v>237</v>
      </c>
      <c r="AV44" s="77">
        <f t="shared" si="10"/>
        <v>237</v>
      </c>
      <c r="AW44" s="77">
        <f t="shared" si="10"/>
        <v>237</v>
      </c>
      <c r="AX44" s="77">
        <f t="shared" si="10"/>
        <v>237</v>
      </c>
      <c r="AY44" s="77">
        <f t="shared" si="10"/>
        <v>237</v>
      </c>
      <c r="AZ44" s="77">
        <f t="shared" si="10"/>
        <v>237</v>
      </c>
      <c r="BC44" s="293">
        <f>IF(BC12&gt;0,MATCH($BC$12,$BC$41:$BQ$41),0)</f>
        <v>5</v>
      </c>
      <c r="BI44" s="77" t="s">
        <v>189</v>
      </c>
      <c r="BJ44" s="77">
        <f>ROUND(($BC$12*EXP(-1*$BC$12*4.5/3600))/(1-EXP(-1*$BC$12*BJ45)),0)</f>
        <v>293</v>
      </c>
      <c r="BK44" s="77">
        <f t="shared" ref="BK44:BP44" si="11">ROUND(($BC$12*EXP(-1*$BC$12*4.5/3600))/(1-EXP(-1*$BC$12*BK45)),0)</f>
        <v>293</v>
      </c>
      <c r="BL44" s="77">
        <f t="shared" si="11"/>
        <v>293</v>
      </c>
      <c r="BM44" s="77">
        <f t="shared" si="11"/>
        <v>293</v>
      </c>
      <c r="BN44" s="77">
        <f t="shared" si="11"/>
        <v>293</v>
      </c>
      <c r="BO44" s="77">
        <f t="shared" si="11"/>
        <v>293</v>
      </c>
      <c r="BP44" s="77">
        <f t="shared" si="11"/>
        <v>293</v>
      </c>
      <c r="BQ44" s="77">
        <f>ROUND(($BC$12*EXP(-1*$BC$12*4.5/3600))/(1-EXP(-1*$BC$12*BQ45)),0)</f>
        <v>293</v>
      </c>
    </row>
    <row r="45" spans="2:69" s="62" customFormat="1" hidden="1">
      <c r="I45" s="77" t="s">
        <v>190</v>
      </c>
      <c r="J45" s="77">
        <f>IF(Sheet1!O6=0,2.5,4.5)</f>
        <v>2.5</v>
      </c>
      <c r="K45" s="77">
        <f>J45</f>
        <v>2.5</v>
      </c>
      <c r="L45" s="77">
        <f>J45</f>
        <v>2.5</v>
      </c>
      <c r="M45" s="77">
        <f>J45</f>
        <v>2.5</v>
      </c>
      <c r="N45" s="77">
        <f>J45</f>
        <v>2.5</v>
      </c>
      <c r="O45" s="77">
        <f>J45</f>
        <v>2.5</v>
      </c>
      <c r="P45" s="77">
        <f>J45</f>
        <v>2.5</v>
      </c>
      <c r="Q45" s="77">
        <f>J45</f>
        <v>2.5</v>
      </c>
      <c r="AA45" s="77" t="s">
        <v>190</v>
      </c>
      <c r="AB45" s="77">
        <f>IF(Sheet1!T6=0,2.5,4.5)</f>
        <v>2.5</v>
      </c>
      <c r="AC45" s="77">
        <f>AB45</f>
        <v>2.5</v>
      </c>
      <c r="AD45" s="77">
        <f>AB45</f>
        <v>2.5</v>
      </c>
      <c r="AE45" s="77">
        <f>AB45</f>
        <v>2.5</v>
      </c>
      <c r="AF45" s="77">
        <f>AB45</f>
        <v>2.5</v>
      </c>
      <c r="AG45" s="77">
        <f>AB45</f>
        <v>2.5</v>
      </c>
      <c r="AH45" s="77">
        <f>AB45</f>
        <v>2.5</v>
      </c>
      <c r="AI45" s="77">
        <f>AB45</f>
        <v>2.5</v>
      </c>
      <c r="AR45" s="77" t="s">
        <v>190</v>
      </c>
      <c r="AS45" s="77">
        <f>IF(Sheet1!E6=0,2.5,4.5)</f>
        <v>2.5</v>
      </c>
      <c r="AT45" s="77">
        <f>AS45</f>
        <v>2.5</v>
      </c>
      <c r="AU45" s="77">
        <f>AS45</f>
        <v>2.5</v>
      </c>
      <c r="AV45" s="77">
        <f>AS45</f>
        <v>2.5</v>
      </c>
      <c r="AW45" s="77">
        <f>AS45</f>
        <v>2.5</v>
      </c>
      <c r="AX45" s="77">
        <f>AS45</f>
        <v>2.5</v>
      </c>
      <c r="AY45" s="77">
        <f>AS45</f>
        <v>2.5</v>
      </c>
      <c r="AZ45" s="77">
        <f>AS45</f>
        <v>2.5</v>
      </c>
      <c r="BI45" s="77" t="s">
        <v>190</v>
      </c>
      <c r="BJ45" s="77">
        <f>IF(Sheet1!J6=0,2.5,4.5)</f>
        <v>2.5</v>
      </c>
      <c r="BK45" s="77">
        <f>BJ45</f>
        <v>2.5</v>
      </c>
      <c r="BL45" s="77">
        <f>BJ45</f>
        <v>2.5</v>
      </c>
      <c r="BM45" s="77">
        <f>BJ45</f>
        <v>2.5</v>
      </c>
      <c r="BN45" s="77">
        <f>BJ45</f>
        <v>2.5</v>
      </c>
      <c r="BO45" s="77">
        <f>BJ45</f>
        <v>2.5</v>
      </c>
      <c r="BP45" s="77">
        <f>BJ45</f>
        <v>2.5</v>
      </c>
      <c r="BQ45" s="77">
        <f>BJ45</f>
        <v>2.5</v>
      </c>
    </row>
    <row r="46" spans="2:69" s="62" customFormat="1" hidden="1">
      <c r="I46" s="77" t="s">
        <v>191</v>
      </c>
      <c r="J46" s="77">
        <f>IF(Sheet1!O6=0,0,1)</f>
        <v>0</v>
      </c>
      <c r="K46" s="77">
        <f>J46</f>
        <v>0</v>
      </c>
      <c r="L46" s="77">
        <f>J46</f>
        <v>0</v>
      </c>
      <c r="M46" s="77">
        <f>J46</f>
        <v>0</v>
      </c>
      <c r="N46" s="77">
        <f>J46</f>
        <v>0</v>
      </c>
      <c r="O46" s="77">
        <f>J46</f>
        <v>0</v>
      </c>
      <c r="P46" s="77">
        <f>J46</f>
        <v>0</v>
      </c>
      <c r="Q46" s="77">
        <f>J46</f>
        <v>0</v>
      </c>
      <c r="AA46" s="77" t="s">
        <v>191</v>
      </c>
      <c r="AB46" s="77">
        <f>IF(Sheet1!T6=0,0,1)</f>
        <v>0</v>
      </c>
      <c r="AC46" s="77">
        <f>AB46</f>
        <v>0</v>
      </c>
      <c r="AD46" s="77">
        <f>AB46</f>
        <v>0</v>
      </c>
      <c r="AE46" s="77">
        <f>AB46</f>
        <v>0</v>
      </c>
      <c r="AF46" s="77">
        <f>AB46</f>
        <v>0</v>
      </c>
      <c r="AG46" s="77">
        <f>AB46</f>
        <v>0</v>
      </c>
      <c r="AH46" s="77">
        <f>AB46</f>
        <v>0</v>
      </c>
      <c r="AI46" s="77">
        <f>AB46</f>
        <v>0</v>
      </c>
      <c r="AR46" s="77" t="s">
        <v>191</v>
      </c>
      <c r="AS46" s="77">
        <f>IF(Sheet1!E6=0,0,1)</f>
        <v>0</v>
      </c>
      <c r="AT46" s="77">
        <f>AS46</f>
        <v>0</v>
      </c>
      <c r="AU46" s="77">
        <f>AS46</f>
        <v>0</v>
      </c>
      <c r="AV46" s="77">
        <f>AS46</f>
        <v>0</v>
      </c>
      <c r="AW46" s="77">
        <f>AS46</f>
        <v>0</v>
      </c>
      <c r="AX46" s="77">
        <f>AS46</f>
        <v>0</v>
      </c>
      <c r="AY46" s="77">
        <f>AS46</f>
        <v>0</v>
      </c>
      <c r="AZ46" s="77">
        <f>AS46</f>
        <v>0</v>
      </c>
      <c r="BI46" s="77" t="s">
        <v>191</v>
      </c>
      <c r="BJ46" s="77">
        <f>IF(Sheet1!J6=0,0,1)</f>
        <v>0</v>
      </c>
      <c r="BK46" s="77">
        <f>BJ46</f>
        <v>0</v>
      </c>
      <c r="BL46" s="77">
        <f>BJ46</f>
        <v>0</v>
      </c>
      <c r="BM46" s="77">
        <f>BJ46</f>
        <v>0</v>
      </c>
      <c r="BN46" s="77">
        <f>BJ46</f>
        <v>0</v>
      </c>
      <c r="BO46" s="77">
        <f>BJ46</f>
        <v>0</v>
      </c>
      <c r="BP46" s="77">
        <f>BJ46</f>
        <v>0</v>
      </c>
      <c r="BQ46" s="77">
        <f>BJ46</f>
        <v>0</v>
      </c>
    </row>
    <row r="47" spans="2:69" s="62" customFormat="1" hidden="1"/>
    <row r="48" spans="2:69" s="62" customFormat="1" hidden="1">
      <c r="B48" s="515" t="s">
        <v>195</v>
      </c>
      <c r="C48" s="62" t="s">
        <v>192</v>
      </c>
      <c r="D48" s="62">
        <f>IF(C13&gt;=2,((C26-1)+EXP(-1*C26*C11*C35/600))/C26,0)</f>
        <v>0</v>
      </c>
      <c r="T48" s="515" t="s">
        <v>195</v>
      </c>
      <c r="U48" s="62" t="s">
        <v>192</v>
      </c>
      <c r="V48" s="62">
        <f>IF(U13&gt;=2,((U26-1)+EXP(-1*U26*U11*U35/600))/U26,0)</f>
        <v>0</v>
      </c>
      <c r="AK48" s="515" t="s">
        <v>195</v>
      </c>
      <c r="AL48" s="62" t="s">
        <v>192</v>
      </c>
      <c r="AM48" s="62">
        <f>IF(AL13&gt;=2,((AL26-1)+EXP(-1*AL26*AL11*AL35/600))/AL26,0)</f>
        <v>0</v>
      </c>
      <c r="BB48" s="515" t="s">
        <v>195</v>
      </c>
      <c r="BC48" s="62" t="s">
        <v>192</v>
      </c>
      <c r="BD48" s="62">
        <f>IF(BC13&gt;=2,((BC26-1)+EXP(-1*BC26*BC11*BC35/600))/BC26,0)</f>
        <v>0</v>
      </c>
    </row>
    <row r="49" spans="2:57" s="62" customFormat="1" hidden="1">
      <c r="B49" s="515"/>
      <c r="C49" s="62" t="s">
        <v>193</v>
      </c>
      <c r="D49" s="62">
        <f>IF(SUM(Sheet1!N5:P5)=1,EXP(-0.02*(C35+10*C34)*C11*0.0444),0)</f>
        <v>0</v>
      </c>
      <c r="E49" s="62">
        <f>IF('Phase designation'!B22=2,MAX('Lane volumes'!D48:D50),1)</f>
        <v>1</v>
      </c>
      <c r="T49" s="515"/>
      <c r="U49" s="62" t="s">
        <v>193</v>
      </c>
      <c r="V49" s="62">
        <f>IF(SUM(Sheet1!S5:U5)=1,EXP(-0.02*(U35+10*U34)*U11*0.0444),0)</f>
        <v>0</v>
      </c>
      <c r="W49" s="62">
        <f>IF('Phase designation'!T22=2,MAX('Lane volumes'!V48:V50),1)</f>
        <v>1</v>
      </c>
      <c r="AK49" s="515"/>
      <c r="AL49" s="62" t="s">
        <v>193</v>
      </c>
      <c r="AM49" s="62">
        <f>IF(SUM(Sheet1!D5:F5)=1,EXP(-0.02*(AL35+10*AL34)*AL11*0.0444),0)</f>
        <v>0</v>
      </c>
      <c r="AN49" s="62">
        <f>IF('Phase designation'!F22=2,MAX('Lane volumes'!AM48:AM50),1)</f>
        <v>0.83791983707666606</v>
      </c>
      <c r="BB49" s="515"/>
      <c r="BC49" s="62" t="s">
        <v>193</v>
      </c>
      <c r="BD49" s="62">
        <f>IF(SUM(Sheet1!I5:K5)=1,EXP(-0.02*(BC35+10*BC34)*BC11*0.0444),0)</f>
        <v>0</v>
      </c>
      <c r="BE49" s="62">
        <f>IF('Phase designation'!H22=2,MAX('Lane volumes'!BD48:BD50),1)</f>
        <v>0.66802131649317831</v>
      </c>
    </row>
    <row r="50" spans="2:57" s="62" customFormat="1" hidden="1">
      <c r="B50" s="515"/>
      <c r="C50" s="62" t="s">
        <v>194</v>
      </c>
      <c r="D50" s="62">
        <f>((C26-1)+EXP(-1*C11*0.0444))/C26</f>
        <v>0.64422983425484071</v>
      </c>
      <c r="T50" s="515"/>
      <c r="U50" s="62" t="s">
        <v>194</v>
      </c>
      <c r="V50" s="62">
        <f>((U26-1)+EXP(-1*U11*0.0444))/U26</f>
        <v>0.66666666666666685</v>
      </c>
      <c r="AK50" s="515"/>
      <c r="AL50" s="62" t="s">
        <v>194</v>
      </c>
      <c r="AM50" s="62">
        <f>((AL26-1)+EXP(-1*AL11*0.0444))/AL26</f>
        <v>0.83791983707666606</v>
      </c>
      <c r="BB50" s="515"/>
      <c r="BC50" s="62" t="s">
        <v>194</v>
      </c>
      <c r="BD50" s="62">
        <f>((BC26-1)+EXP(-1*BC11*0.0444))/BC26</f>
        <v>0.66802131649317831</v>
      </c>
    </row>
    <row r="51" spans="2:57" s="62" customFormat="1" hidden="1"/>
    <row r="52" spans="2:57" s="62" customFormat="1" hidden="1">
      <c r="B52" s="515" t="s">
        <v>197</v>
      </c>
      <c r="C52" s="62" t="s">
        <v>198</v>
      </c>
      <c r="D52" s="62">
        <f>IF(C12&lt;1220,1/(1+(C34*(235+0.435*C12)/(1400-C12))),0)</f>
        <v>0.63655365752806259</v>
      </c>
      <c r="E52" s="62">
        <f>IF('Phase designation'!B22=3,MAX('Lane volumes'!D52:D53),1)</f>
        <v>0.63655365752806259</v>
      </c>
      <c r="T52" s="515" t="s">
        <v>197</v>
      </c>
      <c r="U52" s="62" t="s">
        <v>198</v>
      </c>
      <c r="V52" s="62">
        <f>IF(U12&lt;1220,1/(1+(U34*(235+0.435*U12)/(1400-U12))),0)</f>
        <v>0.82458177629976048</v>
      </c>
      <c r="W52" s="62">
        <f>IF('Phase designation'!T22=3,MAX('Lane volumes'!V52:V53),1)</f>
        <v>1</v>
      </c>
      <c r="AK52" s="515" t="s">
        <v>197</v>
      </c>
      <c r="AL52" s="62" t="s">
        <v>198</v>
      </c>
      <c r="AM52" s="62">
        <f>IF(AL12&lt;1220,1/(1+(AL34*(235+0.435*AL12)/(1400-AL12))),0)</f>
        <v>0</v>
      </c>
      <c r="AN52" s="62">
        <f>IF('Phase designation'!F22=3,MAX('Lane volumes'!AM52:AM53),1)</f>
        <v>1</v>
      </c>
      <c r="BB52" s="515" t="s">
        <v>197</v>
      </c>
      <c r="BC52" s="62" t="s">
        <v>198</v>
      </c>
      <c r="BD52" s="62">
        <f>IF(BC12&lt;1220,1/(1+(BC34*(235+0.435*BC12)/(1400-BC12))),0)</f>
        <v>0.45767394464868472</v>
      </c>
      <c r="BE52" s="62">
        <f>IF('Phase designation'!H22=3,MAX('Lane volumes'!BD52:BD53),1)</f>
        <v>1</v>
      </c>
    </row>
    <row r="53" spans="2:57" s="62" customFormat="1" hidden="1">
      <c r="B53" s="515"/>
      <c r="C53" s="62" t="s">
        <v>199</v>
      </c>
      <c r="D53" s="62">
        <f>IF(C12&gt;=1220,1/(1+4.525*C34),0)</f>
        <v>0</v>
      </c>
      <c r="T53" s="515"/>
      <c r="U53" s="62" t="s">
        <v>199</v>
      </c>
      <c r="V53" s="62">
        <f>IF(U12&gt;=1220,1/(1+4.525*U34),0)</f>
        <v>0</v>
      </c>
      <c r="AK53" s="515"/>
      <c r="AL53" s="62" t="s">
        <v>199</v>
      </c>
      <c r="AM53" s="62">
        <f>IF(AL12&gt;=1220,1/(1+4.525*AL34),0)</f>
        <v>0.18099547511312217</v>
      </c>
      <c r="BB53" s="515"/>
      <c r="BC53" s="62" t="s">
        <v>199</v>
      </c>
      <c r="BD53" s="62">
        <f>IF(BC12&gt;=1220,1/(1+4.525*BC34),0)</f>
        <v>0</v>
      </c>
    </row>
    <row r="54" spans="2:57" s="62" customFormat="1" hidden="1"/>
    <row r="55" spans="2:57" s="62" customFormat="1" hidden="1"/>
    <row r="56" spans="2:57" s="62" customFormat="1" hidden="1">
      <c r="B56" s="348" t="s">
        <v>381</v>
      </c>
      <c r="C56" s="325">
        <f>IF(Sheet1!N4&gt;0,ROUND(Sheet1!N4/SUM(Sheet1!N4:P4),2),0)</f>
        <v>0.22</v>
      </c>
      <c r="D56" s="62">
        <f>IF(C13=0,0,1)</f>
        <v>1</v>
      </c>
      <c r="T56" s="348" t="s">
        <v>381</v>
      </c>
      <c r="U56" s="325">
        <f>IF(Sheet1!S4&gt;0,ROUND(Sheet1!S4/SUM(Sheet1!S4:U4),2),0)</f>
        <v>0.59</v>
      </c>
      <c r="V56" s="62">
        <f>IF(U13=0,U560,1)</f>
        <v>1</v>
      </c>
      <c r="AK56" s="348" t="s">
        <v>381</v>
      </c>
      <c r="AL56" s="325">
        <f>IF((Sheet1!D4+Sheet1!W4+Sheet1!Z4)&gt;0,ROUND((Sheet1!D4+Sheet1!W4+Sheet1!Z4)/SUM(Sheet1!D4:F4,Sheet1!W4:AB4),2),0)</f>
        <v>0.02</v>
      </c>
      <c r="AM56" s="62">
        <f>IF(AL13=0,AL560,1)</f>
        <v>1</v>
      </c>
      <c r="BB56" s="348" t="s">
        <v>381</v>
      </c>
      <c r="BC56" s="325">
        <f>IF((Sheet1!I4+Sheet1!AC4+Sheet1!AF4)&gt;0,ROUND((Sheet1!I4+Sheet1!AC4+Sheet1!AF4)/SUM(Sheet1!I4:K4,Sheet1!AC4:AE4,Sheet1!AF4:AH4),2),0)</f>
        <v>0.08</v>
      </c>
      <c r="BD56" s="62">
        <f>IF(BC13=0,BC560,1)</f>
        <v>1</v>
      </c>
    </row>
    <row r="57" spans="2:57" s="62" customFormat="1" hidden="1">
      <c r="B57" s="348" t="s">
        <v>382</v>
      </c>
      <c r="C57" s="325">
        <f>IF(Sheet1!N4&gt;0,ROUND(Sheet1!N4/SUM(Sheet1!N4:P4),2),0)</f>
        <v>0.22</v>
      </c>
      <c r="D57" s="62">
        <f>IF(C13=0,C57,0)</f>
        <v>0</v>
      </c>
      <c r="T57" s="348" t="s">
        <v>382</v>
      </c>
      <c r="U57" s="325">
        <f>IF(Sheet1!S4&gt;0,ROUND(Sheet1!S4/SUM(Sheet1!S4:U4),2),0)</f>
        <v>0.59</v>
      </c>
      <c r="V57" s="62">
        <f>IF(U13=0,U57,0)</f>
        <v>0</v>
      </c>
      <c r="AK57" s="348" t="s">
        <v>382</v>
      </c>
      <c r="AL57" s="325">
        <f>IF((Sheet1!D4+Sheet1!W4+Sheet1!Z4)&gt;0,ROUND((Sheet1!D4+Sheet1!W4+Sheet1!Z4)/SUM(Sheet1!D4:F4,Sheet1!W4:AB4),2),0)</f>
        <v>0.02</v>
      </c>
      <c r="AM57" s="62">
        <f>IF(AL13=0,AL57,0)</f>
        <v>0</v>
      </c>
      <c r="BB57" s="348" t="s">
        <v>382</v>
      </c>
      <c r="BC57" s="325">
        <f>IF((Sheet1!I4+Sheet1!AC4+Sheet1!AF4)&gt;0,ROUND((Sheet1!I4+Sheet1!AC4+Sheet1!AF4)/SUM(Sheet1!I4:K4,Sheet1!AC4:AE4,Sheet1!AF4:AH4),2),0)</f>
        <v>0.08</v>
      </c>
      <c r="BD57" s="62">
        <f>IF(BC13=0,BC57,0)</f>
        <v>0</v>
      </c>
    </row>
    <row r="58" spans="2:57" s="62" customFormat="1"/>
    <row r="59" spans="2:57" s="62" customFormat="1"/>
    <row r="60" spans="2:57" s="62" customFormat="1"/>
    <row r="61" spans="2:57" s="62" customFormat="1"/>
    <row r="62" spans="2:57" s="62" customFormat="1"/>
    <row r="63" spans="2:57" s="62" customFormat="1"/>
    <row r="64" spans="2:57" s="62" customFormat="1"/>
  </sheetData>
  <mergeCells count="20">
    <mergeCell ref="BB2:BE2"/>
    <mergeCell ref="BB15:BB16"/>
    <mergeCell ref="BC40:BI40"/>
    <mergeCell ref="BB48:BB50"/>
    <mergeCell ref="BB52:BB53"/>
    <mergeCell ref="AK2:AN2"/>
    <mergeCell ref="AK15:AK16"/>
    <mergeCell ref="AL40:AR40"/>
    <mergeCell ref="AK48:AK50"/>
    <mergeCell ref="AK52:AK53"/>
    <mergeCell ref="T2:W2"/>
    <mergeCell ref="T15:T16"/>
    <mergeCell ref="U40:AA40"/>
    <mergeCell ref="T48:T50"/>
    <mergeCell ref="T52:T53"/>
    <mergeCell ref="B2:E2"/>
    <mergeCell ref="B15:B16"/>
    <mergeCell ref="C40:I40"/>
    <mergeCell ref="B48:B50"/>
    <mergeCell ref="B52:B53"/>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sheetPr codeName="Sheet5"/>
  <dimension ref="B1:BG120"/>
  <sheetViews>
    <sheetView zoomScale="70" zoomScaleNormal="70" workbookViewId="0"/>
  </sheetViews>
  <sheetFormatPr defaultRowHeight="15"/>
  <cols>
    <col min="1" max="1" width="9.140625" style="3"/>
    <col min="2" max="2" width="28" style="3" bestFit="1" customWidth="1"/>
    <col min="3" max="4" width="10.7109375" style="3" customWidth="1"/>
    <col min="5" max="5" width="10.7109375" style="243" customWidth="1"/>
    <col min="6" max="7" width="10.7109375" style="3" customWidth="1"/>
    <col min="8" max="8" width="10.7109375" style="243" customWidth="1"/>
    <col min="9" max="10" width="10.7109375" style="3" customWidth="1"/>
    <col min="11" max="11" width="10.7109375" style="243" customWidth="1"/>
    <col min="12" max="13" width="10.7109375" style="3" customWidth="1"/>
    <col min="14" max="14" width="10.7109375" style="243" customWidth="1"/>
    <col min="15" max="15" width="9.140625" style="3" hidden="1" customWidth="1"/>
    <col min="16" max="16" width="9.140625" style="292"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8" hidden="1" customWidth="1"/>
    <col min="33" max="34" width="9.140625" style="78" hidden="1" customWidth="1"/>
    <col min="35" max="35" width="17" style="78" hidden="1" customWidth="1"/>
    <col min="36" max="36" width="9.140625" style="78" hidden="1" customWidth="1"/>
    <col min="37" max="39" width="9.140625" style="77" hidden="1" customWidth="1"/>
    <col min="40" max="40" width="17" style="77" hidden="1" customWidth="1"/>
    <col min="41" max="44" width="9.140625" style="77" hidden="1" customWidth="1"/>
    <col min="45" max="45" width="16.28515625" style="77" hidden="1" customWidth="1"/>
    <col min="46" max="48" width="9.140625" style="77" hidden="1" customWidth="1"/>
    <col min="49" max="56" width="9.140625" style="3" hidden="1" customWidth="1"/>
    <col min="57" max="64" width="9.140625" style="3" customWidth="1"/>
    <col min="65" max="16384" width="9.140625" style="3"/>
  </cols>
  <sheetData>
    <row r="1" spans="2:57">
      <c r="B1" s="504" t="s">
        <v>207</v>
      </c>
      <c r="C1" s="504"/>
      <c r="D1" s="504"/>
      <c r="E1" s="242"/>
      <c r="Q1" s="101"/>
      <c r="R1" s="101"/>
      <c r="S1" s="101"/>
      <c r="T1" s="101"/>
      <c r="U1" s="101"/>
      <c r="V1" s="101"/>
      <c r="Y1" s="508" t="s">
        <v>396</v>
      </c>
      <c r="Z1" s="508"/>
      <c r="AA1" s="508"/>
      <c r="AB1" s="508"/>
      <c r="AC1" s="508"/>
    </row>
    <row r="2" spans="2:57">
      <c r="B2" s="254" t="s">
        <v>76</v>
      </c>
      <c r="C2" s="255" t="s">
        <v>13</v>
      </c>
      <c r="D2" s="256" t="s">
        <v>14</v>
      </c>
      <c r="E2" s="327" t="s">
        <v>15</v>
      </c>
      <c r="F2" s="255" t="s">
        <v>18</v>
      </c>
      <c r="G2" s="256" t="s">
        <v>19</v>
      </c>
      <c r="H2" s="327" t="s">
        <v>20</v>
      </c>
      <c r="I2" s="255" t="s">
        <v>3</v>
      </c>
      <c r="J2" s="256" t="s">
        <v>4</v>
      </c>
      <c r="K2" s="327" t="s">
        <v>5</v>
      </c>
      <c r="L2" s="255" t="s">
        <v>8</v>
      </c>
      <c r="M2" s="256" t="s">
        <v>9</v>
      </c>
      <c r="N2" s="327" t="s">
        <v>10</v>
      </c>
      <c r="O2" s="251"/>
      <c r="Q2" s="10"/>
      <c r="R2" s="112" t="s">
        <v>208</v>
      </c>
      <c r="S2" s="113">
        <f>'Input sheet'!P2</f>
        <v>1900</v>
      </c>
      <c r="T2" s="101"/>
      <c r="U2" s="10"/>
      <c r="V2" s="10"/>
      <c r="W2" s="5"/>
      <c r="X2" s="320"/>
      <c r="Y2" s="349" t="s">
        <v>395</v>
      </c>
      <c r="Z2" s="350" t="s">
        <v>383</v>
      </c>
      <c r="AA2" s="350" t="s">
        <v>384</v>
      </c>
      <c r="AB2" s="350" t="s">
        <v>385</v>
      </c>
      <c r="AC2" s="351" t="s">
        <v>386</v>
      </c>
      <c r="AD2" s="349" t="s">
        <v>395</v>
      </c>
      <c r="AE2" s="357" t="s">
        <v>404</v>
      </c>
      <c r="AF2" s="358" t="s">
        <v>405</v>
      </c>
      <c r="AH2" s="252" t="s">
        <v>404</v>
      </c>
      <c r="AI2" s="78" t="s">
        <v>408</v>
      </c>
      <c r="AJ2" s="78" t="s">
        <v>127</v>
      </c>
      <c r="AN2" s="77" t="s">
        <v>409</v>
      </c>
      <c r="AO2" s="77" t="s">
        <v>127</v>
      </c>
      <c r="AS2" s="77" t="s">
        <v>410</v>
      </c>
      <c r="AT2" s="77" t="s">
        <v>127</v>
      </c>
    </row>
    <row r="3" spans="2:57">
      <c r="B3" s="87" t="s">
        <v>77</v>
      </c>
      <c r="C3" s="250">
        <f>IF(SUM('Phase designation'!B19:H19)&gt;2,0,IF(AND('Phase designation'!B3&lt;2,C33&gt;0),2,'Phase designation'!B3))</f>
        <v>28</v>
      </c>
      <c r="D3" s="45">
        <f>IF(SUM('Phase designation'!B19:H19)&gt;2,0,IF(D6=0,0,Sheet1!O4))</f>
        <v>0</v>
      </c>
      <c r="E3" s="45">
        <f>IF(SUM('Phase designation'!B19:H19)&gt;2,0,Sheet1!P4)</f>
        <v>97</v>
      </c>
      <c r="F3" s="250">
        <f>IF(SUM('Phase designation'!B19:H19)&gt;2,0,'Phase designation'!D3)</f>
        <v>803</v>
      </c>
      <c r="G3" s="45">
        <f>IF(SUM('Phase designation'!B19:H19)&gt;2,0,IF(G6=0,0,Sheet1!T4))</f>
        <v>1</v>
      </c>
      <c r="H3" s="45">
        <f>IF(SUM('Phase designation'!B19:H19)&gt;2,0,Sheet1!U4)</f>
        <v>560</v>
      </c>
      <c r="I3" s="250">
        <f>IF(SUM('Phase designation'!B19:H19)&gt;2,0,IF(AND('Phase designation'!F3&lt;2,I33&gt;0),2,'Phase designation'!F3))</f>
        <v>15</v>
      </c>
      <c r="J3" s="45">
        <f>IF(SUM('Phase designation'!B19:H19)&gt;2,0,IF(J6=0,0,Sheet1!E4))</f>
        <v>738</v>
      </c>
      <c r="K3" s="45">
        <f>IF(SUM('Phase designation'!B19:H19)&gt;2,0,Sheet1!F4+Sheet1!Y4+Sheet1!AB4)</f>
        <v>141</v>
      </c>
      <c r="L3" s="250">
        <f>IF(SUM('Phase designation'!B19:H19)&gt;2,0,'Phase designation'!H3)</f>
        <v>124</v>
      </c>
      <c r="M3" s="45">
        <f>IF(SUM('Phase designation'!B19:H19)&gt;2,0,IF(M6=0,0,Sheet1!J4))</f>
        <v>1422</v>
      </c>
      <c r="N3" s="45">
        <f>IF(SUM('Phase designation'!B19:H19)&gt;2,0,Sheet1!K4+Sheet1!AE4+Sheet1!AH4)</f>
        <v>23</v>
      </c>
      <c r="O3" s="251">
        <f>SUM(C3:N3)</f>
        <v>3952</v>
      </c>
      <c r="Q3" s="10"/>
      <c r="R3" s="112" t="s">
        <v>209</v>
      </c>
      <c r="S3" s="113">
        <f>'Input sheet'!P4</f>
        <v>2</v>
      </c>
      <c r="T3" s="10"/>
      <c r="U3" s="10"/>
      <c r="V3" s="10"/>
      <c r="W3" s="5"/>
      <c r="Y3" s="352" t="s">
        <v>387</v>
      </c>
      <c r="Z3" s="168" t="s">
        <v>86</v>
      </c>
      <c r="AA3" s="168" t="s">
        <v>86</v>
      </c>
      <c r="AB3" s="168" t="s">
        <v>86</v>
      </c>
      <c r="AC3" s="353" t="s">
        <v>86</v>
      </c>
      <c r="AD3" s="352" t="s">
        <v>387</v>
      </c>
      <c r="AE3" s="251" t="str">
        <f>Z3&amp;" "&amp;AA3</f>
        <v>Permitted Permitted</v>
      </c>
      <c r="AF3" s="359" t="str">
        <f>AB3&amp;" "&amp;AC3</f>
        <v>Permitted Permitted</v>
      </c>
      <c r="AI3" s="78" t="s">
        <v>395</v>
      </c>
      <c r="AJ3" s="78">
        <v>1</v>
      </c>
      <c r="AK3" s="77">
        <v>2</v>
      </c>
      <c r="AL3" s="77">
        <v>3</v>
      </c>
      <c r="AN3" s="77" t="s">
        <v>395</v>
      </c>
      <c r="AO3" s="77">
        <v>1</v>
      </c>
      <c r="AP3" s="77">
        <v>2</v>
      </c>
      <c r="AQ3" s="77">
        <v>3</v>
      </c>
      <c r="AS3" s="77" t="s">
        <v>395</v>
      </c>
      <c r="AT3" s="77">
        <v>1</v>
      </c>
      <c r="AU3" s="77">
        <v>2</v>
      </c>
      <c r="AV3" s="77">
        <v>3</v>
      </c>
    </row>
    <row r="4" spans="2:57">
      <c r="B4" s="257" t="s">
        <v>125</v>
      </c>
      <c r="C4" s="326">
        <f>Sheet1!N31</f>
        <v>0.92</v>
      </c>
      <c r="D4" s="327">
        <f>Sheet1!O31</f>
        <v>0.92</v>
      </c>
      <c r="E4" s="327">
        <f>D4</f>
        <v>0.92</v>
      </c>
      <c r="F4" s="326">
        <f>Sheet1!S31</f>
        <v>0.92</v>
      </c>
      <c r="G4" s="327">
        <f>Sheet1!T31</f>
        <v>0.92</v>
      </c>
      <c r="H4" s="327">
        <f>G4</f>
        <v>0.92</v>
      </c>
      <c r="I4" s="326">
        <f>Sheet1!D31</f>
        <v>0.92</v>
      </c>
      <c r="J4" s="327">
        <f>Sheet1!E31</f>
        <v>0.92</v>
      </c>
      <c r="K4" s="327">
        <f>J4</f>
        <v>0.92</v>
      </c>
      <c r="L4" s="326">
        <f>Sheet1!I31</f>
        <v>0.92</v>
      </c>
      <c r="M4" s="327">
        <f>Sheet1!J31</f>
        <v>0.92</v>
      </c>
      <c r="N4" s="327">
        <f>M4</f>
        <v>0.92</v>
      </c>
      <c r="O4" s="251">
        <f>AVERAGE(C4:M4)</f>
        <v>0.92</v>
      </c>
      <c r="Q4" s="10"/>
      <c r="R4" s="114" t="s">
        <v>214</v>
      </c>
      <c r="S4" s="115">
        <f>100/(100+S3)</f>
        <v>0.98039215686274506</v>
      </c>
      <c r="T4" s="10"/>
      <c r="U4" s="10"/>
      <c r="V4" s="10"/>
      <c r="W4" s="17"/>
      <c r="Y4" s="352" t="s">
        <v>388</v>
      </c>
      <c r="Z4" s="168" t="s">
        <v>86</v>
      </c>
      <c r="AA4" s="168" t="s">
        <v>394</v>
      </c>
      <c r="AB4" s="168" t="s">
        <v>86</v>
      </c>
      <c r="AC4" s="353" t="s">
        <v>394</v>
      </c>
      <c r="AD4" s="352" t="s">
        <v>388</v>
      </c>
      <c r="AE4" s="251" t="str">
        <f t="shared" ref="AE4:AE10" si="0">Z4&amp;" "&amp;AA4</f>
        <v>Permitted Not opposed</v>
      </c>
      <c r="AF4" s="359" t="str">
        <f t="shared" ref="AF4:AF10" si="1">AB4&amp;" "&amp;AC4</f>
        <v>Permitted Not opposed</v>
      </c>
      <c r="AI4" s="78" t="s">
        <v>387</v>
      </c>
      <c r="AJ4" s="78">
        <v>4</v>
      </c>
      <c r="AN4" s="77" t="s">
        <v>387</v>
      </c>
      <c r="AO4" s="362" t="s">
        <v>411</v>
      </c>
      <c r="AP4" s="362"/>
      <c r="AQ4" s="362"/>
      <c r="AS4" s="77" t="s">
        <v>387</v>
      </c>
      <c r="AT4" s="77">
        <f>MAX(D16,G16,F16)</f>
        <v>845</v>
      </c>
    </row>
    <row r="5" spans="2:57">
      <c r="B5" s="325" t="s">
        <v>126</v>
      </c>
      <c r="C5" s="251">
        <f>ROUND(C3/C4,0)</f>
        <v>30</v>
      </c>
      <c r="D5" s="252">
        <f t="shared" ref="D5:N5" si="2">ROUND(D3/D4,0)</f>
        <v>0</v>
      </c>
      <c r="E5" s="252">
        <f t="shared" si="2"/>
        <v>105</v>
      </c>
      <c r="F5" s="251">
        <f t="shared" si="2"/>
        <v>873</v>
      </c>
      <c r="G5" s="252">
        <f t="shared" si="2"/>
        <v>1</v>
      </c>
      <c r="H5" s="252">
        <f t="shared" si="2"/>
        <v>609</v>
      </c>
      <c r="I5" s="251">
        <f t="shared" si="2"/>
        <v>16</v>
      </c>
      <c r="J5" s="252">
        <f t="shared" si="2"/>
        <v>802</v>
      </c>
      <c r="K5" s="252">
        <f t="shared" si="2"/>
        <v>153</v>
      </c>
      <c r="L5" s="251">
        <f t="shared" si="2"/>
        <v>135</v>
      </c>
      <c r="M5" s="252">
        <f t="shared" si="2"/>
        <v>1546</v>
      </c>
      <c r="N5" s="252">
        <f t="shared" si="2"/>
        <v>25</v>
      </c>
      <c r="O5" s="251"/>
      <c r="Q5" s="10"/>
      <c r="R5" s="10"/>
      <c r="S5" s="101" t="s">
        <v>212</v>
      </c>
      <c r="T5" s="10"/>
      <c r="U5" s="10"/>
      <c r="V5" s="10"/>
      <c r="W5" s="5"/>
      <c r="Y5" s="352" t="s">
        <v>389</v>
      </c>
      <c r="Z5" s="168" t="s">
        <v>394</v>
      </c>
      <c r="AA5" s="168" t="s">
        <v>86</v>
      </c>
      <c r="AB5" s="168" t="s">
        <v>394</v>
      </c>
      <c r="AC5" s="353" t="s">
        <v>86</v>
      </c>
      <c r="AD5" s="352" t="s">
        <v>389</v>
      </c>
      <c r="AE5" s="251" t="str">
        <f t="shared" si="0"/>
        <v>Not opposed Permitted</v>
      </c>
      <c r="AF5" s="359" t="str">
        <f t="shared" si="1"/>
        <v>Not opposed Permitted</v>
      </c>
      <c r="AI5" s="78" t="s">
        <v>388</v>
      </c>
      <c r="AJ5" s="78">
        <v>4</v>
      </c>
      <c r="AN5" s="77" t="s">
        <v>388</v>
      </c>
      <c r="AO5" s="362" t="s">
        <v>411</v>
      </c>
      <c r="AP5" s="362"/>
      <c r="AQ5" s="362"/>
      <c r="AS5" s="77" t="s">
        <v>388</v>
      </c>
      <c r="AT5" s="325">
        <f>MAX(D16,G16,F16)</f>
        <v>845</v>
      </c>
    </row>
    <row r="6" spans="2:57" ht="15" customHeight="1">
      <c r="B6" s="257" t="s">
        <v>130</v>
      </c>
      <c r="C6" s="326">
        <f>IF(SUM('Phase designation'!B19:H19)&gt;2,0,'Phase designation'!B6)</f>
        <v>1</v>
      </c>
      <c r="D6" s="327">
        <f>IF(SUM('Phase designation'!B19:H19)&gt;2,0,IF('Summary sheet'!AA15=0,0,'Phase designation'!C6))</f>
        <v>2</v>
      </c>
      <c r="E6" s="327">
        <f>IF(SUM('Phase designation'!B19:H19)&gt;2,0,'Summary sheet'!U13)</f>
        <v>1</v>
      </c>
      <c r="F6" s="326">
        <f>IF(SUM('Phase designation'!B19:H19)&gt;2,0,'Phase designation'!D6)</f>
        <v>1</v>
      </c>
      <c r="G6" s="327">
        <f>IF(SUM('Phase designation'!B19:H19)&gt;2,0,IF('Summary sheet'!U15=0,0,'Phase designation'!E6))</f>
        <v>3</v>
      </c>
      <c r="H6" s="327">
        <f>IF(SUM('Phase designation'!B19:H19)&gt;2,0,'Summary sheet'!AA9)</f>
        <v>1</v>
      </c>
      <c r="I6" s="326">
        <f>IF(SUM('Phase designation'!B19:H19)&gt;2,0,'Phase designation'!F6)</f>
        <v>1</v>
      </c>
      <c r="J6" s="327">
        <f>IF(SUM('Phase designation'!B19:H19)&gt;2,0,'Phase designation'!G6)</f>
        <v>3</v>
      </c>
      <c r="K6" s="327">
        <f>IF(SUM('Phase designation'!B19:H19)&gt;2,0,'Summary sheet'!Y17)</f>
        <v>1</v>
      </c>
      <c r="L6" s="326">
        <f>IF(SUM('Phase designation'!B19:H19)&gt;2,0,'Phase designation'!H6)</f>
        <v>1</v>
      </c>
      <c r="M6" s="327">
        <f>IF(SUM('Phase designation'!B19:H19)&gt;2,0,IF('Summary sheet'!Z17=0,0,'Phase designation'!I6))</f>
        <v>3</v>
      </c>
      <c r="N6" s="327">
        <f>IF(SUM('Phase designation'!B19:H19)&gt;2,0,'Summary sheet'!W4)</f>
        <v>1</v>
      </c>
      <c r="O6" s="251"/>
      <c r="Q6" s="10"/>
      <c r="R6" s="520" t="s">
        <v>210</v>
      </c>
      <c r="S6" s="101">
        <v>1</v>
      </c>
      <c r="T6" s="101">
        <v>1</v>
      </c>
      <c r="U6" s="10"/>
      <c r="V6" s="10"/>
      <c r="W6" s="5"/>
      <c r="Y6" s="352" t="s">
        <v>390</v>
      </c>
      <c r="Z6" s="168" t="s">
        <v>86</v>
      </c>
      <c r="AA6" s="168" t="s">
        <v>85</v>
      </c>
      <c r="AB6" s="168" t="s">
        <v>86</v>
      </c>
      <c r="AC6" s="353" t="s">
        <v>85</v>
      </c>
      <c r="AD6" s="352" t="s">
        <v>390</v>
      </c>
      <c r="AE6" s="251" t="str">
        <f t="shared" si="0"/>
        <v>Permitted Protected</v>
      </c>
      <c r="AF6" s="359" t="str">
        <f t="shared" si="1"/>
        <v>Permitted Protected</v>
      </c>
      <c r="AI6" s="78" t="s">
        <v>389</v>
      </c>
      <c r="AJ6" s="78">
        <v>4</v>
      </c>
      <c r="AN6" s="77" t="s">
        <v>389</v>
      </c>
      <c r="AO6" s="362" t="s">
        <v>411</v>
      </c>
      <c r="AP6" s="362"/>
      <c r="AQ6" s="362"/>
      <c r="AS6" s="77" t="s">
        <v>389</v>
      </c>
      <c r="AT6" s="325">
        <f>MAX(D16,G16,F16)</f>
        <v>845</v>
      </c>
    </row>
    <row r="7" spans="2:57" s="69" customFormat="1" hidden="1">
      <c r="B7" s="325" t="s">
        <v>134</v>
      </c>
      <c r="C7" s="251">
        <f>IF(C6&gt;0,ROUND(C5/C6,0),0)</f>
        <v>30</v>
      </c>
      <c r="D7" s="252">
        <f t="shared" ref="D7:M7" si="3">IF(D6&gt;0,ROUND(D5/D6,0),0)</f>
        <v>0</v>
      </c>
      <c r="E7" s="252"/>
      <c r="F7" s="251">
        <f t="shared" si="3"/>
        <v>873</v>
      </c>
      <c r="G7" s="252">
        <f t="shared" si="3"/>
        <v>0</v>
      </c>
      <c r="H7" s="252"/>
      <c r="I7" s="251">
        <f t="shared" si="3"/>
        <v>16</v>
      </c>
      <c r="J7" s="252">
        <f t="shared" si="3"/>
        <v>267</v>
      </c>
      <c r="K7" s="252"/>
      <c r="L7" s="251">
        <f t="shared" si="3"/>
        <v>135</v>
      </c>
      <c r="M7" s="252">
        <f t="shared" si="3"/>
        <v>515</v>
      </c>
      <c r="N7" s="252"/>
      <c r="O7" s="251"/>
      <c r="P7" s="292"/>
      <c r="Q7" s="102"/>
      <c r="R7" s="520"/>
      <c r="S7" s="101">
        <v>2</v>
      </c>
      <c r="T7" s="101">
        <v>0.95199999999999996</v>
      </c>
      <c r="U7" s="10"/>
      <c r="V7" s="103"/>
      <c r="W7" s="5"/>
      <c r="Y7" s="352" t="s">
        <v>391</v>
      </c>
      <c r="Z7" s="168" t="s">
        <v>85</v>
      </c>
      <c r="AA7" s="168" t="s">
        <v>86</v>
      </c>
      <c r="AB7" s="168" t="s">
        <v>85</v>
      </c>
      <c r="AC7" s="353" t="s">
        <v>86</v>
      </c>
      <c r="AD7" s="352" t="s">
        <v>391</v>
      </c>
      <c r="AE7" s="251" t="str">
        <f t="shared" si="0"/>
        <v>Protected Permitted</v>
      </c>
      <c r="AF7" s="359" t="str">
        <f t="shared" si="1"/>
        <v>Protected Permitted</v>
      </c>
      <c r="AG7" s="78"/>
      <c r="AH7" s="78"/>
      <c r="AI7" s="78" t="s">
        <v>390</v>
      </c>
      <c r="AJ7" s="78">
        <v>4</v>
      </c>
      <c r="AK7" s="77">
        <v>4</v>
      </c>
      <c r="AL7" s="77"/>
      <c r="AM7" s="77"/>
      <c r="AN7" s="77" t="s">
        <v>390</v>
      </c>
      <c r="AO7" s="362" t="s">
        <v>412</v>
      </c>
      <c r="AP7" s="362" t="s">
        <v>411</v>
      </c>
      <c r="AQ7" s="362"/>
      <c r="AR7" s="77"/>
      <c r="AS7" s="77" t="s">
        <v>390</v>
      </c>
      <c r="AT7" s="77">
        <f>F16</f>
        <v>845</v>
      </c>
      <c r="AU7" s="77">
        <f>MAX(G16-F16,D16)</f>
        <v>0</v>
      </c>
      <c r="AV7" s="77"/>
    </row>
    <row r="8" spans="2:57" s="243" customFormat="1">
      <c r="B8" s="325" t="s">
        <v>343</v>
      </c>
      <c r="C8" s="251"/>
      <c r="D8" s="252"/>
      <c r="E8" s="252">
        <f>ROUND('Input sheet'!G17/100*E5,0)</f>
        <v>53</v>
      </c>
      <c r="F8" s="251"/>
      <c r="G8" s="252"/>
      <c r="H8" s="252">
        <f>ROUND('Input sheet'!N11/100*H5,0)</f>
        <v>305</v>
      </c>
      <c r="I8" s="251"/>
      <c r="J8" s="252"/>
      <c r="K8" s="252">
        <f>ROUND('Input sheet'!L22/100*K5,0)</f>
        <v>77</v>
      </c>
      <c r="L8" s="251"/>
      <c r="M8" s="252"/>
      <c r="N8" s="252">
        <f>ROUND('Input sheet'!H7/100*N5,0)</f>
        <v>13</v>
      </c>
      <c r="O8" s="251"/>
      <c r="P8" s="292"/>
      <c r="Q8" s="102"/>
      <c r="R8" s="520"/>
      <c r="S8" s="101"/>
      <c r="T8" s="101"/>
      <c r="U8" s="10"/>
      <c r="V8" s="103"/>
      <c r="W8" s="5"/>
      <c r="Y8" s="352" t="s">
        <v>392</v>
      </c>
      <c r="Z8" s="168" t="s">
        <v>401</v>
      </c>
      <c r="AA8" s="168" t="s">
        <v>85</v>
      </c>
      <c r="AB8" s="168" t="s">
        <v>401</v>
      </c>
      <c r="AC8" s="353" t="s">
        <v>85</v>
      </c>
      <c r="AD8" s="352" t="s">
        <v>392</v>
      </c>
      <c r="AE8" s="251" t="str">
        <f t="shared" si="0"/>
        <v>ProtectedA Protected</v>
      </c>
      <c r="AF8" s="359" t="str">
        <f t="shared" si="1"/>
        <v>ProtectedA Protected</v>
      </c>
      <c r="AG8" s="78"/>
      <c r="AH8" s="78"/>
      <c r="AI8" s="78" t="s">
        <v>391</v>
      </c>
      <c r="AJ8" s="78">
        <v>4</v>
      </c>
      <c r="AK8" s="77">
        <v>4</v>
      </c>
      <c r="AL8" s="77"/>
      <c r="AM8" s="77"/>
      <c r="AN8" s="77" t="s">
        <v>391</v>
      </c>
      <c r="AO8" s="362" t="s">
        <v>413</v>
      </c>
      <c r="AP8" s="362" t="s">
        <v>411</v>
      </c>
      <c r="AQ8" s="362"/>
      <c r="AR8" s="77"/>
      <c r="AS8" s="77" t="s">
        <v>391</v>
      </c>
      <c r="AT8" s="77">
        <f>C16</f>
        <v>29</v>
      </c>
      <c r="AU8" s="77">
        <f>MAX(D16-C16,G16)</f>
        <v>0</v>
      </c>
      <c r="AV8" s="77"/>
    </row>
    <row r="9" spans="2:57" s="243" customFormat="1">
      <c r="B9" s="257" t="s">
        <v>344</v>
      </c>
      <c r="C9" s="326">
        <f>C5</f>
        <v>30</v>
      </c>
      <c r="D9" s="327">
        <f>IF(AND(E3&gt;0,E6=0),D5+E5,D5)</f>
        <v>0</v>
      </c>
      <c r="E9" s="327">
        <f>IF(AND(E3&gt;0,E6=0),0,E5-E8)</f>
        <v>52</v>
      </c>
      <c r="F9" s="326">
        <f>F5</f>
        <v>873</v>
      </c>
      <c r="G9" s="327">
        <f>IF(AND(H3&gt;0,H6=0),G5+H5,G5)</f>
        <v>1</v>
      </c>
      <c r="H9" s="327">
        <f>IF(AND(H3&gt;0,H6=0),0,H5-H8)</f>
        <v>304</v>
      </c>
      <c r="I9" s="326">
        <f>I5</f>
        <v>16</v>
      </c>
      <c r="J9" s="327">
        <f>IF(AND(K3&gt;0,K6=0),J5+K5,J5)</f>
        <v>802</v>
      </c>
      <c r="K9" s="327">
        <f>IF(AND(K3&gt;0,K6=0),0,K5-K8)</f>
        <v>76</v>
      </c>
      <c r="L9" s="326">
        <f>L5</f>
        <v>135</v>
      </c>
      <c r="M9" s="327">
        <f>IF(AND(N3&gt;0,N6=0),M5+N5,M5)</f>
        <v>1546</v>
      </c>
      <c r="N9" s="327">
        <f>IF(AND(N3&gt;0,N6=0),0,N5-N8)</f>
        <v>12</v>
      </c>
      <c r="O9" s="251">
        <f>SUM(C9:N9)</f>
        <v>3847</v>
      </c>
      <c r="P9" s="292"/>
      <c r="Q9" s="102"/>
      <c r="R9" s="520"/>
      <c r="S9" s="101"/>
      <c r="T9" s="101"/>
      <c r="U9" s="10"/>
      <c r="V9" s="103"/>
      <c r="W9" s="5"/>
      <c r="Y9" s="352" t="s">
        <v>393</v>
      </c>
      <c r="Z9" s="168" t="s">
        <v>85</v>
      </c>
      <c r="AA9" s="168" t="s">
        <v>401</v>
      </c>
      <c r="AB9" s="168" t="s">
        <v>85</v>
      </c>
      <c r="AC9" s="353" t="s">
        <v>401</v>
      </c>
      <c r="AD9" s="352" t="s">
        <v>393</v>
      </c>
      <c r="AE9" s="251" t="str">
        <f t="shared" si="0"/>
        <v>Protected ProtectedA</v>
      </c>
      <c r="AF9" s="359" t="str">
        <f t="shared" si="1"/>
        <v>Protected ProtectedA</v>
      </c>
      <c r="AG9" s="78"/>
      <c r="AH9" s="78"/>
      <c r="AI9" s="78" t="s">
        <v>392</v>
      </c>
      <c r="AJ9" s="78">
        <v>4</v>
      </c>
      <c r="AK9" s="77">
        <v>0</v>
      </c>
      <c r="AL9" s="77">
        <v>4</v>
      </c>
      <c r="AM9" s="77"/>
      <c r="AN9" s="77" t="s">
        <v>392</v>
      </c>
      <c r="AO9" s="362" t="s">
        <v>414</v>
      </c>
      <c r="AP9" s="362" t="s">
        <v>413</v>
      </c>
      <c r="AQ9" s="362" t="s">
        <v>411</v>
      </c>
      <c r="AR9" s="77"/>
      <c r="AS9" s="77" t="s">
        <v>392</v>
      </c>
      <c r="AT9" s="77">
        <f>F16</f>
        <v>845</v>
      </c>
      <c r="AU9" s="77">
        <f>C16-F16</f>
        <v>-816</v>
      </c>
      <c r="AV9" s="77">
        <f>MAX(G16,D16-(C16-F16))</f>
        <v>816</v>
      </c>
    </row>
    <row r="10" spans="2:57" s="85" customFormat="1">
      <c r="B10" s="325" t="s">
        <v>213</v>
      </c>
      <c r="C10" s="251">
        <f>IF(C6=0,1,LOOKUP(C6,$S$18:$S$19,$T$18:$T$19))</f>
        <v>1</v>
      </c>
      <c r="D10" s="252">
        <f>IF(D6=0,1,LOOKUP(D6,$S$6:$S$10,$T$6:$T$10))</f>
        <v>0.95199999999999996</v>
      </c>
      <c r="E10" s="252"/>
      <c r="F10" s="251">
        <f>IF(F6=0,1,LOOKUP(F6,$S$18:$S$19,$T$18:$T$19))</f>
        <v>1</v>
      </c>
      <c r="G10" s="252">
        <f>IF(G6=0,1,LOOKUP(G6,$S$6:$S$10,$T$6:$T$10))</f>
        <v>0.90800000000000003</v>
      </c>
      <c r="H10" s="252"/>
      <c r="I10" s="251">
        <f>IF(I6=0,1,LOOKUP(I6,$S$18:$S$19,$T$18:$T$19))</f>
        <v>1</v>
      </c>
      <c r="J10" s="252">
        <f>IF(J6=0,1,LOOKUP(J6,$S$6:$S$10,$T$6:$T$10))</f>
        <v>0.90800000000000003</v>
      </c>
      <c r="K10" s="252"/>
      <c r="L10" s="251">
        <f>IF(L6=0,1,LOOKUP(L6,$S$18:$S$19,$T$18:$T$19))</f>
        <v>1</v>
      </c>
      <c r="M10" s="252">
        <f>IF(M6=0,1,LOOKUP(M6,$S$6:$S$10,$T$6:$T$10))</f>
        <v>0.90800000000000003</v>
      </c>
      <c r="N10" s="252"/>
      <c r="O10" s="251"/>
      <c r="P10" s="292"/>
      <c r="Q10" s="102"/>
      <c r="R10" s="520"/>
      <c r="S10" s="101">
        <v>3</v>
      </c>
      <c r="T10" s="101">
        <v>0.90800000000000003</v>
      </c>
      <c r="U10" s="10"/>
      <c r="V10" s="103"/>
      <c r="W10" s="5"/>
      <c r="Y10" s="354">
        <v>4</v>
      </c>
      <c r="Z10" s="355" t="s">
        <v>394</v>
      </c>
      <c r="AA10" s="355" t="s">
        <v>394</v>
      </c>
      <c r="AB10" s="355" t="s">
        <v>394</v>
      </c>
      <c r="AC10" s="356" t="s">
        <v>394</v>
      </c>
      <c r="AD10" s="354">
        <v>4</v>
      </c>
      <c r="AE10" s="360" t="str">
        <f t="shared" si="0"/>
        <v>Not opposed Not opposed</v>
      </c>
      <c r="AF10" s="361" t="str">
        <f t="shared" si="1"/>
        <v>Not opposed Not opposed</v>
      </c>
      <c r="AG10" s="78"/>
      <c r="AH10" s="78"/>
      <c r="AI10" s="78" t="s">
        <v>393</v>
      </c>
      <c r="AJ10" s="78">
        <v>4</v>
      </c>
      <c r="AK10" s="77">
        <v>0</v>
      </c>
      <c r="AL10" s="77">
        <v>4</v>
      </c>
      <c r="AM10" s="77"/>
      <c r="AN10" s="77" t="s">
        <v>393</v>
      </c>
      <c r="AO10" s="362" t="s">
        <v>414</v>
      </c>
      <c r="AP10" s="362" t="s">
        <v>412</v>
      </c>
      <c r="AQ10" s="362" t="s">
        <v>411</v>
      </c>
      <c r="AR10" s="77"/>
      <c r="AS10" s="77" t="s">
        <v>393</v>
      </c>
      <c r="AT10" s="77">
        <f>C16</f>
        <v>29</v>
      </c>
      <c r="AU10" s="77">
        <f>F16-C16</f>
        <v>816</v>
      </c>
      <c r="AV10" s="77">
        <f>MAX(D16,G16-(F16-C16))</f>
        <v>0</v>
      </c>
    </row>
    <row r="11" spans="2:57">
      <c r="B11" s="257" t="s">
        <v>345</v>
      </c>
      <c r="C11" s="326">
        <f>IF(C34=0,0,ROUND(C6*1530*C4*'Input sheet'!$Q$6,0))</f>
        <v>1408</v>
      </c>
      <c r="D11" s="327">
        <f>IF(D34=0,0,ROUND(D6*1530*D4*'Input sheet'!$Q$6,0))</f>
        <v>2815</v>
      </c>
      <c r="E11" s="328">
        <f>IF(E34=0,0,ROUND(E6*1530*E4*'Input sheet'!$Q$6,0))</f>
        <v>1408</v>
      </c>
      <c r="F11" s="326">
        <f>IF(F34=0,0,ROUND(F6*1530*F4*'Input sheet'!$Q$6,0))</f>
        <v>1408</v>
      </c>
      <c r="G11" s="327">
        <f>IF(G34=0,0,ROUND(G6*1530*G4*'Input sheet'!$Q$6,0))</f>
        <v>4223</v>
      </c>
      <c r="H11" s="328">
        <f>IF(H34=0,0,ROUND(H6*1530*H4*'Input sheet'!$Q$6,0))</f>
        <v>1408</v>
      </c>
      <c r="I11" s="326">
        <f>IF(I34=0,0,ROUND(I6*1530*I4*'Input sheet'!$Q$6,0))</f>
        <v>0</v>
      </c>
      <c r="J11" s="327">
        <f>IF(J34=0,0,ROUND(J6*1530*J4*'Input sheet'!$Q$6,0))</f>
        <v>4223</v>
      </c>
      <c r="K11" s="328">
        <f>IF(K34=0,0,ROUND(K6*1530*K4*'Input sheet'!$Q$6,0))</f>
        <v>1408</v>
      </c>
      <c r="L11" s="326">
        <f>IF(L34=0,0,ROUND(L6*1530*L4*'Input sheet'!$Q$6,0))</f>
        <v>0</v>
      </c>
      <c r="M11" s="327">
        <f>IF(M34=0,0,ROUND(M6*1530*M4*'Input sheet'!$Q$6,0))</f>
        <v>4223</v>
      </c>
      <c r="N11" s="327">
        <f>IF(N34=0,0,ROUND(N6*1530*N4*'Input sheet'!$Q$6,0))</f>
        <v>1408</v>
      </c>
      <c r="O11" s="368">
        <f>ROUND(1530*O4*'Input sheet'!Q6,0)</f>
        <v>1408</v>
      </c>
      <c r="P11" s="292" t="s">
        <v>215</v>
      </c>
      <c r="Q11" s="77"/>
      <c r="R11" s="111"/>
      <c r="U11" s="10"/>
      <c r="V11" s="103"/>
      <c r="W11" s="10"/>
      <c r="AI11" s="78">
        <v>4</v>
      </c>
      <c r="AJ11" s="78">
        <v>4</v>
      </c>
      <c r="AK11" s="77">
        <v>4</v>
      </c>
      <c r="AN11" s="77">
        <v>4</v>
      </c>
      <c r="AO11" s="362" t="s">
        <v>413</v>
      </c>
      <c r="AP11" s="362" t="s">
        <v>412</v>
      </c>
      <c r="AQ11" s="362"/>
      <c r="AS11" s="77">
        <v>4</v>
      </c>
      <c r="AT11" s="77">
        <f>MAX(D16,C16)</f>
        <v>29</v>
      </c>
      <c r="AU11" s="77">
        <f>MAX(G16,F16)</f>
        <v>845</v>
      </c>
      <c r="BE11" s="168"/>
    </row>
    <row r="12" spans="2:57" s="77" customFormat="1" hidden="1">
      <c r="B12" s="325" t="s">
        <v>347</v>
      </c>
      <c r="C12" s="251">
        <f>MAX(1,'Lane volumes'!C12)</f>
        <v>561</v>
      </c>
      <c r="D12" s="252"/>
      <c r="E12" s="252"/>
      <c r="F12" s="251">
        <f>MAX(1,'Lane volumes'!U12)</f>
        <v>97</v>
      </c>
      <c r="G12" s="252"/>
      <c r="H12" s="252"/>
      <c r="I12" s="251">
        <f>MAX(1,'Lane volumes'!AL12)</f>
        <v>1445</v>
      </c>
      <c r="J12" s="252"/>
      <c r="K12" s="252"/>
      <c r="L12" s="251">
        <f>MAX(1,'Lane volumes'!BC12)</f>
        <v>879</v>
      </c>
      <c r="M12" s="252"/>
      <c r="N12" s="252"/>
      <c r="O12" s="251"/>
      <c r="P12" s="292"/>
      <c r="R12" s="111"/>
      <c r="U12" s="10"/>
      <c r="V12" s="103"/>
      <c r="W12" s="10"/>
      <c r="AE12" s="78"/>
      <c r="AF12" s="78"/>
      <c r="AG12" s="78"/>
      <c r="AH12" s="78"/>
    </row>
    <row r="13" spans="2:57" s="292" customFormat="1" hidden="1">
      <c r="B13" s="325" t="s">
        <v>348</v>
      </c>
      <c r="C13" s="251">
        <f>IF(AND(C6=0,C3&gt;0),4.5,2.5)</f>
        <v>2.5</v>
      </c>
      <c r="D13" s="252"/>
      <c r="E13" s="252"/>
      <c r="F13" s="251">
        <f>IF(AND(F6=0,F3&gt;0),4.5,2.5)</f>
        <v>2.5</v>
      </c>
      <c r="G13" s="252"/>
      <c r="H13" s="252"/>
      <c r="I13" s="251">
        <f>IF(AND(I6=0,I3&gt;0),4.5,2.5)</f>
        <v>2.5</v>
      </c>
      <c r="J13" s="252"/>
      <c r="K13" s="252"/>
      <c r="L13" s="251">
        <f>IF(AND(L6=0,L3&gt;0),4.5,2.5)</f>
        <v>2.5</v>
      </c>
      <c r="M13" s="252"/>
      <c r="N13" s="252"/>
      <c r="O13" s="251"/>
      <c r="R13" s="111"/>
      <c r="U13" s="10"/>
      <c r="V13" s="103"/>
      <c r="W13" s="10"/>
      <c r="Y13" s="325" t="s">
        <v>397</v>
      </c>
      <c r="Z13" s="77" t="str">
        <f>'Phase designation'!B23</f>
        <v>Prot+perm</v>
      </c>
      <c r="AA13" s="325" t="str">
        <f>'Phase designation'!D23</f>
        <v>Prot+perm</v>
      </c>
      <c r="AB13" s="325" t="str">
        <f>'Phase designation'!F23</f>
        <v>Permitted</v>
      </c>
      <c r="AC13" s="325" t="str">
        <f>'Phase designation'!H23</f>
        <v>Permitted</v>
      </c>
      <c r="AE13" s="252"/>
      <c r="AF13" s="252"/>
      <c r="AG13" s="252"/>
      <c r="AH13" s="252"/>
      <c r="AI13" s="252"/>
      <c r="AJ13" s="252"/>
    </row>
    <row r="14" spans="2:57" s="243" customFormat="1">
      <c r="B14" s="325" t="s">
        <v>346</v>
      </c>
      <c r="C14" s="251">
        <f>IF(D63+D65&gt;=1,ROUND(C10*$S$4*(C12*EXP(-1*C12*4.5/3600))/((1-EXP(-1*C12*C13/3600))),0),0)</f>
        <v>845</v>
      </c>
      <c r="D14" s="252">
        <f>D11</f>
        <v>2815</v>
      </c>
      <c r="E14" s="252">
        <f>E11</f>
        <v>1408</v>
      </c>
      <c r="F14" s="251">
        <f>IF(G63+G65&gt;=1,ROUND(F10*$S$4*(F12*EXP(-1*F12*4.5/3600))/((1-EXP(-1*F12*F13/3600))),0),0)</f>
        <v>1293</v>
      </c>
      <c r="G14" s="252">
        <f>G11</f>
        <v>4223</v>
      </c>
      <c r="H14" s="252">
        <f>H11</f>
        <v>1408</v>
      </c>
      <c r="I14" s="251">
        <f>IF(J63+J65&gt;=1,ROUND(I10*$S$4*(I12*EXP(-1*I12*4.5/3600))/((1-EXP(-1*I12*I13/3600))),0),0)</f>
        <v>367</v>
      </c>
      <c r="J14" s="252">
        <f>J11</f>
        <v>4223</v>
      </c>
      <c r="K14" s="252">
        <f>K11</f>
        <v>1408</v>
      </c>
      <c r="L14" s="251">
        <f>IF(M63+M65&gt;=1,ROUND(L10*$S$4*(L12*EXP(-1*L12*4.5/3600))/((1-EXP(-1*L12*L13/3600))),0),0)</f>
        <v>629</v>
      </c>
      <c r="M14" s="252">
        <f>M11</f>
        <v>4223</v>
      </c>
      <c r="N14" s="252">
        <f>N11</f>
        <v>1408</v>
      </c>
      <c r="O14" s="251"/>
      <c r="P14" s="292"/>
      <c r="Q14" s="77"/>
      <c r="R14" s="111"/>
      <c r="U14" s="10"/>
      <c r="V14" s="103"/>
      <c r="W14" s="10"/>
      <c r="Y14" s="320" t="s">
        <v>400</v>
      </c>
      <c r="Z14" s="243">
        <f>IF(SUM(Sheet1!S5:U5)=0,1,0)</f>
        <v>0</v>
      </c>
      <c r="AA14" s="320">
        <f>IF(SUM(Sheet1!N5:P5)=0,1,0)</f>
        <v>0</v>
      </c>
      <c r="AB14" s="320">
        <f>IF(SUM(Sheet1!I5:K5,Sheet1!AC5:AH5)=0,1,0)</f>
        <v>0</v>
      </c>
      <c r="AC14" s="320">
        <f>IF(SUM(Sheet1!D5:F5,Sheet1!W5:AB5)=0,1,0)</f>
        <v>0</v>
      </c>
      <c r="AE14" s="78"/>
      <c r="AF14" s="78"/>
      <c r="AG14" s="78"/>
      <c r="AH14" s="167" t="s">
        <v>404</v>
      </c>
      <c r="AI14" s="364" t="str">
        <f>Z21</f>
        <v>3b</v>
      </c>
      <c r="AJ14" s="167"/>
      <c r="AK14" s="319"/>
      <c r="AL14" s="319"/>
      <c r="AM14" s="77"/>
      <c r="AN14" s="77"/>
      <c r="AO14" s="77"/>
      <c r="AP14" s="77"/>
      <c r="AQ14" s="77"/>
      <c r="AR14" s="77"/>
      <c r="AS14" s="77"/>
      <c r="AT14" s="77"/>
      <c r="AU14" s="77"/>
      <c r="AV14" s="77"/>
    </row>
    <row r="15" spans="2:57" hidden="1">
      <c r="B15" s="325" t="s">
        <v>133</v>
      </c>
      <c r="C15" s="251">
        <f>IF(C7+G7&gt;F7+D7,C7,0)</f>
        <v>0</v>
      </c>
      <c r="D15" s="252">
        <f>IF(D7+F7&gt;G7+C7,D7,0)</f>
        <v>0</v>
      </c>
      <c r="E15" s="252"/>
      <c r="F15" s="251">
        <f>IF(F7+D7&gt;C7+G7,F7,0)</f>
        <v>873</v>
      </c>
      <c r="G15" s="252">
        <f>IF(G7+C7&gt;D7+F7,G7,0)</f>
        <v>0</v>
      </c>
      <c r="H15" s="252"/>
      <c r="I15" s="251">
        <f>IF(I7+M7&gt;L7+J7,I7,0)</f>
        <v>16</v>
      </c>
      <c r="J15" s="252">
        <f>IF(J7+L7&gt;M7+I7,J7,0)</f>
        <v>0</v>
      </c>
      <c r="K15" s="252"/>
      <c r="L15" s="251">
        <f>IF(L7+J7&gt;I7+M7,L7,0)</f>
        <v>0</v>
      </c>
      <c r="M15" s="252">
        <f>IF(M7+I7&gt;J7+L7,M7,0)</f>
        <v>515</v>
      </c>
      <c r="N15" s="252"/>
      <c r="O15" s="251">
        <f>SUM(C15:M15)</f>
        <v>1404</v>
      </c>
      <c r="Q15" s="10"/>
      <c r="R15" s="13"/>
      <c r="S15" s="101"/>
      <c r="T15" s="101"/>
      <c r="U15" s="10"/>
      <c r="V15" s="103"/>
      <c r="W15" s="10"/>
      <c r="Y15" s="320" t="s">
        <v>399</v>
      </c>
      <c r="Z15" s="3" t="str">
        <f>IF(Z13="Prot+perm","Protected",Z13)</f>
        <v>Protected</v>
      </c>
      <c r="AA15" s="320" t="str">
        <f>IF(AA13="Prot+perm","Protected",AA13)</f>
        <v>Protected</v>
      </c>
      <c r="AB15" s="320" t="str">
        <f>IF(AB13="Prot+perm","Protected",AB13)</f>
        <v>Permitted</v>
      </c>
      <c r="AC15" s="320" t="str">
        <f>IF(AC13="Prot+perm","Protected",AC13)</f>
        <v>Permitted</v>
      </c>
      <c r="AI15" s="167" t="s">
        <v>408</v>
      </c>
      <c r="AJ15" s="167">
        <f>INDEX(AJ4:AJ11,MATCH($AI$14,$AI$4:$AI$11,0))</f>
        <v>4</v>
      </c>
      <c r="AK15" s="167">
        <f>INDEX(AK4:AK11,MATCH($AI$14,$AI$4:$AI$11,0))</f>
        <v>0</v>
      </c>
      <c r="AL15" s="167">
        <f>INDEX(AL4:AL11,MATCH($AI$14,$AI$4:$AI$11,0))</f>
        <v>4</v>
      </c>
    </row>
    <row r="16" spans="2:57" s="292" customFormat="1">
      <c r="B16" s="257" t="s">
        <v>349</v>
      </c>
      <c r="C16" s="326">
        <f>MAX('Lane volumes'!C16:E16)</f>
        <v>29</v>
      </c>
      <c r="D16" s="327">
        <f>IF(D6=0,0,ROUND(MAX('Lane volumes'!C31:E31,'Lane volumes'!C38:E38),0))</f>
        <v>0</v>
      </c>
      <c r="E16" s="327">
        <f>MAX('Lane volumes'!C8:D8)</f>
        <v>58</v>
      </c>
      <c r="F16" s="326">
        <f>MAX('Lane volumes'!U16:W16)</f>
        <v>845</v>
      </c>
      <c r="G16" s="327">
        <f>IF(G6=0,0,ROUND(MAX('Lane volumes'!U31:W31,'Lane volumes'!U38:W38),0))</f>
        <v>0</v>
      </c>
      <c r="H16" s="327">
        <f>MAX('Lane volumes'!U8:V8)</f>
        <v>329</v>
      </c>
      <c r="I16" s="326">
        <f>MAX('Lane volumes'!AL16:AN16)</f>
        <v>0</v>
      </c>
      <c r="J16" s="327">
        <f>IF(J6=0,0,ROUND(MAX('Lane volumes'!AL31:AN31,'Lane volumes'!AL38:AN38),0))</f>
        <v>246</v>
      </c>
      <c r="K16" s="327">
        <f>MAX('Lane volumes'!AL8:AM8)</f>
        <v>84</v>
      </c>
      <c r="L16" s="326">
        <f>MAX('Lane volumes'!BC16:BE16)</f>
        <v>0</v>
      </c>
      <c r="M16" s="327">
        <f>IF(M6=0,0,ROUND(MAX('Lane volumes'!BC31:BE31,'Lane volumes'!BC38:BE38),0))</f>
        <v>474</v>
      </c>
      <c r="N16" s="327">
        <f>MAX('Lane volumes'!BC8:BD8)</f>
        <v>14</v>
      </c>
      <c r="O16" s="251"/>
      <c r="Q16" s="10"/>
      <c r="R16" s="13"/>
      <c r="S16" s="101"/>
      <c r="T16" s="101"/>
      <c r="U16" s="10"/>
      <c r="V16" s="103"/>
      <c r="W16" s="10"/>
      <c r="Y16" s="325" t="s">
        <v>402</v>
      </c>
      <c r="Z16" s="292" t="str">
        <f>IF(AND(Z15="Protected",AA15="Protected",C3&gt;=F3),"ProtectedA","Protected")</f>
        <v>Protected</v>
      </c>
      <c r="AA16" s="325" t="str">
        <f>IF(AND(Z15="Protected",AA15="Protected",F3&gt;=C3),"ProtectedA","Protected")</f>
        <v>ProtectedA</v>
      </c>
      <c r="AB16" s="325" t="str">
        <f>IF(AND(AB15="Protected",AC15="Protected",I3&gt;=L3),"ProtectedA","Protected")</f>
        <v>Protected</v>
      </c>
      <c r="AC16" s="325" t="str">
        <f>IF(AND(AB15="Protected",AC15="Protected",L3&gt;=I3),"ProtectedA","Protected")</f>
        <v>Protected</v>
      </c>
      <c r="AE16" s="252"/>
      <c r="AF16" s="252"/>
      <c r="AG16" s="252"/>
      <c r="AH16" s="252"/>
      <c r="AI16" s="167" t="s">
        <v>409</v>
      </c>
      <c r="AJ16" s="167" t="str">
        <f>INDEX(AO4:AO11,MATCH($AI$14,$AN$4:$AN$11,0))</f>
        <v>EBWBLT</v>
      </c>
      <c r="AK16" s="167" t="str">
        <f>INDEX(AP4:AP11,MATCH($AI$14,$AN$4:$AN$11,0))</f>
        <v>WBTHLT</v>
      </c>
      <c r="AL16" s="167" t="str">
        <f>INDEX(AQ4:AQ11,MATCH($AI$14,$AN$4:$AN$11,0))</f>
        <v>EBWBTH</v>
      </c>
    </row>
    <row r="17" spans="2:57" s="164" customFormat="1" hidden="1">
      <c r="B17" s="325" t="s">
        <v>230</v>
      </c>
      <c r="C17" s="521"/>
      <c r="D17" s="522"/>
      <c r="E17" s="523"/>
      <c r="F17" s="521"/>
      <c r="G17" s="522"/>
      <c r="H17" s="523"/>
      <c r="I17" s="521"/>
      <c r="J17" s="522"/>
      <c r="K17" s="523"/>
      <c r="L17" s="522"/>
      <c r="M17" s="522"/>
      <c r="N17" s="522"/>
      <c r="O17" s="368">
        <f>SUM(AJ17:AL17,AJ33:AL33)</f>
        <v>1319</v>
      </c>
      <c r="P17" s="292" t="s">
        <v>216</v>
      </c>
      <c r="Q17" s="10"/>
      <c r="R17" s="13"/>
      <c r="S17" s="101"/>
      <c r="T17" s="101"/>
      <c r="U17" s="10"/>
      <c r="V17" s="103"/>
      <c r="W17" s="10"/>
      <c r="Y17" s="325" t="s">
        <v>403</v>
      </c>
      <c r="Z17" s="325" t="str">
        <f>IF(AND(Z14=1,Z15="Permitted"),"Not opposed",Z15)</f>
        <v>Protected</v>
      </c>
      <c r="AA17" s="325" t="str">
        <f>IF(AND(AA14=1,AA15="Permitted"),"Not opposed",AA15)</f>
        <v>Protected</v>
      </c>
      <c r="AB17" s="325" t="str">
        <f>IF(AND(AB14=1,AB15="Permitted"),"Not opposed",AB15)</f>
        <v>Permitted</v>
      </c>
      <c r="AC17" s="325" t="str">
        <f>IF(AND(AC14=1,AC15="Permitted"),"Not opposed",AC15)</f>
        <v>Permitted</v>
      </c>
      <c r="AE17" s="78"/>
      <c r="AF17" s="78"/>
      <c r="AG17" s="78"/>
      <c r="AH17" s="78"/>
      <c r="AI17" s="167" t="s">
        <v>410</v>
      </c>
      <c r="AJ17" s="167">
        <f>INDEX(AT4:AT11,MATCH($AI$14,$AS$4:$AS$11,0))</f>
        <v>29</v>
      </c>
      <c r="AK17" s="167">
        <f>INDEX(AU4:AU11,MATCH($AI$14,$AS$4:$AS$11,0))</f>
        <v>816</v>
      </c>
      <c r="AL17" s="167">
        <f>INDEX(AV4:AV11,MATCH($AI$14,$AS$4:$AS$11,0))</f>
        <v>0</v>
      </c>
      <c r="AM17" s="77"/>
      <c r="AN17" s="77"/>
      <c r="AO17" s="77"/>
      <c r="AP17" s="77"/>
      <c r="AQ17" s="77"/>
      <c r="AR17" s="77"/>
      <c r="AS17" s="77"/>
      <c r="AT17" s="77"/>
      <c r="AU17" s="77"/>
      <c r="AV17" s="77"/>
      <c r="BE17" s="168"/>
    </row>
    <row r="18" spans="2:57">
      <c r="B18" s="325" t="s">
        <v>439</v>
      </c>
      <c r="C18" s="251">
        <f>'Phase designation'!B27</f>
        <v>7</v>
      </c>
      <c r="D18" s="252">
        <f>'Phase designation'!C27</f>
        <v>4</v>
      </c>
      <c r="E18" s="252"/>
      <c r="F18" s="251">
        <f>'Phase designation'!D27</f>
        <v>3</v>
      </c>
      <c r="G18" s="252">
        <f>'Phase designation'!E27</f>
        <v>8</v>
      </c>
      <c r="H18" s="252"/>
      <c r="I18" s="251">
        <f>'Phase designation'!F27</f>
        <v>0</v>
      </c>
      <c r="J18" s="252">
        <f>'Phase designation'!G27</f>
        <v>2</v>
      </c>
      <c r="K18" s="252"/>
      <c r="L18" s="251">
        <f>'Phase designation'!H27</f>
        <v>0</v>
      </c>
      <c r="M18" s="252">
        <f>'Phase designation'!I27</f>
        <v>6</v>
      </c>
      <c r="N18" s="252"/>
      <c r="O18" s="251"/>
      <c r="Q18" s="10"/>
      <c r="R18" s="517" t="s">
        <v>211</v>
      </c>
      <c r="S18" s="25">
        <v>1</v>
      </c>
      <c r="T18" s="25">
        <v>1</v>
      </c>
      <c r="U18" s="16"/>
      <c r="V18" s="13"/>
      <c r="W18" s="14"/>
      <c r="Y18" s="319" t="s">
        <v>398</v>
      </c>
      <c r="Z18" s="319" t="str">
        <f>IF(AND(Z16="ProtectedA",Z17="Protected"),"ProtectedA",Z17)</f>
        <v>Protected</v>
      </c>
      <c r="AA18" s="319" t="str">
        <f>IF(AND(AA16="ProtectedA",AA17="Protected"),"ProtectedA",AA17)</f>
        <v>ProtectedA</v>
      </c>
      <c r="AB18" s="319" t="str">
        <f>IF(AND(AB16="ProtectedA",AB17="Protected"),"ProtectedA",AB17)</f>
        <v>Permitted</v>
      </c>
      <c r="AC18" s="319" t="str">
        <f>IF(AND(AC16="ProtectedA",AC17="Protected"),"ProtectedA",AC17)</f>
        <v>Permitted</v>
      </c>
      <c r="AI18" s="366" t="s">
        <v>419</v>
      </c>
      <c r="AJ18" s="366">
        <f>IF(AJ17=0,0,ROUND(($C$25-$C$23)*(AJ17/$O$17)+AJ15,1))</f>
        <v>7</v>
      </c>
      <c r="AK18" s="366">
        <f>IF(AK17=0,0,ROUND(($C$25-$C$23)*(AK17/$O$17)+AK15,1))</f>
        <v>85.4</v>
      </c>
      <c r="AL18" s="366">
        <f>IF(AL17=0,0,ROUND(($C$25-$C$23)*(AL17/$O$17)+AL15,1))</f>
        <v>0</v>
      </c>
    </row>
    <row r="19" spans="2:57" s="110" customFormat="1">
      <c r="B19" s="297" t="s">
        <v>128</v>
      </c>
      <c r="C19" s="298">
        <f>'Phase designation'!B28</f>
        <v>4</v>
      </c>
      <c r="D19" s="299">
        <f>'Phase designation'!C28</f>
        <v>0</v>
      </c>
      <c r="E19" s="299">
        <f>D18</f>
        <v>4</v>
      </c>
      <c r="F19" s="298">
        <f>'Phase designation'!D28</f>
        <v>8</v>
      </c>
      <c r="G19" s="299">
        <f>'Phase designation'!E28</f>
        <v>0</v>
      </c>
      <c r="H19" s="299">
        <f>D18</f>
        <v>4</v>
      </c>
      <c r="I19" s="298">
        <f>'Phase designation'!F28</f>
        <v>2</v>
      </c>
      <c r="J19" s="299">
        <f>'Phase designation'!G28</f>
        <v>0</v>
      </c>
      <c r="K19" s="299">
        <f>J18</f>
        <v>2</v>
      </c>
      <c r="L19" s="298">
        <f>'Phase designation'!H28</f>
        <v>6</v>
      </c>
      <c r="M19" s="299">
        <f>'Phase designation'!I28</f>
        <v>0</v>
      </c>
      <c r="N19" s="299">
        <f>M18</f>
        <v>6</v>
      </c>
      <c r="O19" s="369"/>
      <c r="P19" s="195"/>
      <c r="Q19" s="108"/>
      <c r="R19" s="517"/>
      <c r="S19" s="107">
        <v>2</v>
      </c>
      <c r="T19" s="107">
        <v>0.97099999999999997</v>
      </c>
      <c r="U19" s="106"/>
      <c r="V19" s="109"/>
      <c r="W19" s="109"/>
      <c r="Y19" s="226" t="s">
        <v>406</v>
      </c>
      <c r="Z19" s="525" t="str">
        <f>Z18&amp;" "&amp;AA18</f>
        <v>Protected ProtectedA</v>
      </c>
      <c r="AA19" s="525"/>
      <c r="AB19" s="525" t="str">
        <f>AB18&amp;" "&amp;AC18</f>
        <v>Permitted Permitted</v>
      </c>
      <c r="AC19" s="525"/>
      <c r="AE19" s="198"/>
      <c r="AF19" s="198"/>
      <c r="AG19" s="198"/>
      <c r="AH19" s="302" t="s">
        <v>405</v>
      </c>
      <c r="AI19" s="78" t="s">
        <v>408</v>
      </c>
      <c r="AJ19" s="78" t="s">
        <v>127</v>
      </c>
      <c r="AK19" s="77"/>
      <c r="AL19" s="77"/>
      <c r="AM19" s="77"/>
      <c r="AN19" s="77" t="s">
        <v>409</v>
      </c>
      <c r="AO19" s="77" t="s">
        <v>127</v>
      </c>
      <c r="AP19" s="77"/>
      <c r="AQ19" s="77"/>
      <c r="AR19" s="77"/>
      <c r="AS19" s="77" t="s">
        <v>410</v>
      </c>
      <c r="AT19" s="77" t="s">
        <v>127</v>
      </c>
      <c r="AU19" s="77"/>
      <c r="AV19" s="77"/>
    </row>
    <row r="20" spans="2:57">
      <c r="B20" s="399" t="s">
        <v>129</v>
      </c>
      <c r="C20" s="252">
        <f>'Input sheet'!$P$5</f>
        <v>4</v>
      </c>
      <c r="D20" s="252">
        <f>'Input sheet'!$P$5</f>
        <v>4</v>
      </c>
      <c r="E20" s="252">
        <f>'Input sheet'!$P$5</f>
        <v>4</v>
      </c>
      <c r="F20" s="252">
        <f>'Input sheet'!$P$5</f>
        <v>4</v>
      </c>
      <c r="G20" s="252">
        <f>'Input sheet'!$P$5</f>
        <v>4</v>
      </c>
      <c r="H20" s="252">
        <f>'Input sheet'!$P$5</f>
        <v>4</v>
      </c>
      <c r="I20" s="252">
        <f>'Input sheet'!$P$5</f>
        <v>4</v>
      </c>
      <c r="J20" s="252">
        <f>'Input sheet'!$P$5</f>
        <v>4</v>
      </c>
      <c r="K20" s="252">
        <f>'Input sheet'!$P$5</f>
        <v>4</v>
      </c>
      <c r="L20" s="252">
        <f>'Input sheet'!$P$5</f>
        <v>4</v>
      </c>
      <c r="M20" s="252">
        <f>'Input sheet'!$P$5</f>
        <v>4</v>
      </c>
      <c r="N20" s="252">
        <f>'Input sheet'!$P$5</f>
        <v>4</v>
      </c>
      <c r="O20" s="252"/>
      <c r="Q20" s="10"/>
      <c r="R20" s="35"/>
      <c r="S20" s="25"/>
      <c r="T20" s="25"/>
      <c r="U20" s="16"/>
      <c r="V20" s="105"/>
      <c r="W20" s="72"/>
      <c r="Y20" s="320" t="s">
        <v>407</v>
      </c>
      <c r="Z20" s="508">
        <f>MATCH(Z19,AE3:AE10,0)</f>
        <v>7</v>
      </c>
      <c r="AA20" s="508"/>
      <c r="AB20" s="508">
        <f>MATCH(AB19,AF3:AF10,0)</f>
        <v>1</v>
      </c>
      <c r="AC20" s="508"/>
      <c r="AI20" s="78" t="s">
        <v>395</v>
      </c>
      <c r="AJ20" s="78">
        <v>1</v>
      </c>
      <c r="AK20" s="77">
        <v>2</v>
      </c>
      <c r="AL20" s="77">
        <v>3</v>
      </c>
      <c r="AN20" s="77" t="s">
        <v>395</v>
      </c>
      <c r="AO20" s="77">
        <v>1</v>
      </c>
      <c r="AP20" s="77">
        <v>2</v>
      </c>
      <c r="AQ20" s="77">
        <v>3</v>
      </c>
      <c r="AS20" s="77" t="s">
        <v>395</v>
      </c>
      <c r="AT20" s="77">
        <v>1</v>
      </c>
      <c r="AU20" s="77">
        <v>2</v>
      </c>
      <c r="AV20" s="77">
        <v>3</v>
      </c>
    </row>
    <row r="21" spans="2:57" hidden="1">
      <c r="B21" s="370"/>
      <c r="C21" s="251"/>
      <c r="D21" s="252"/>
      <c r="E21" s="252"/>
      <c r="F21" s="251"/>
      <c r="G21" s="252"/>
      <c r="H21" s="252"/>
      <c r="I21" s="251"/>
      <c r="J21" s="252"/>
      <c r="K21" s="252"/>
      <c r="L21" s="251"/>
      <c r="M21" s="252"/>
      <c r="N21" s="252"/>
      <c r="O21" s="251"/>
      <c r="Q21" s="10"/>
      <c r="R21" s="104"/>
      <c r="S21" s="25"/>
      <c r="T21" s="25"/>
      <c r="U21" s="16"/>
      <c r="V21" s="16"/>
      <c r="W21" s="15"/>
      <c r="Y21" s="320" t="s">
        <v>395</v>
      </c>
      <c r="Z21" s="508" t="str">
        <f>INDEX(AD3:AD10,Z20)</f>
        <v>3b</v>
      </c>
      <c r="AA21" s="508"/>
      <c r="AB21" s="508" t="str">
        <f>INDEX(AD3:AD10,AB20)</f>
        <v>1a</v>
      </c>
      <c r="AC21" s="508"/>
      <c r="AI21" s="78" t="s">
        <v>387</v>
      </c>
      <c r="AJ21" s="78">
        <v>4</v>
      </c>
      <c r="AN21" s="77" t="s">
        <v>387</v>
      </c>
      <c r="AO21" s="362" t="s">
        <v>415</v>
      </c>
      <c r="AP21" s="362"/>
      <c r="AQ21" s="362"/>
      <c r="AS21" s="77" t="s">
        <v>387</v>
      </c>
      <c r="AT21" s="77">
        <f>MAX(J16,I16,M16,L16)</f>
        <v>474</v>
      </c>
    </row>
    <row r="22" spans="2:57">
      <c r="B22" s="77"/>
      <c r="C22" s="77"/>
      <c r="D22" s="77"/>
      <c r="E22" s="77"/>
      <c r="F22" s="77"/>
      <c r="G22" s="101"/>
      <c r="H22" s="101"/>
      <c r="I22" s="101"/>
      <c r="J22" s="101"/>
      <c r="K22" s="101"/>
      <c r="L22" s="101"/>
      <c r="M22" s="101"/>
      <c r="N22" s="101"/>
      <c r="O22" s="77"/>
      <c r="Q22" s="10"/>
      <c r="R22" s="104"/>
      <c r="S22" s="25"/>
      <c r="T22" s="29"/>
      <c r="U22" s="16"/>
      <c r="V22" s="101" t="s">
        <v>236</v>
      </c>
      <c r="W22" s="15"/>
      <c r="AI22" s="78" t="s">
        <v>388</v>
      </c>
      <c r="AJ22" s="78">
        <v>4</v>
      </c>
      <c r="AN22" s="77" t="s">
        <v>388</v>
      </c>
      <c r="AO22" s="362" t="s">
        <v>415</v>
      </c>
      <c r="AP22" s="362"/>
      <c r="AQ22" s="362"/>
      <c r="AS22" s="77" t="s">
        <v>388</v>
      </c>
      <c r="AT22" s="325">
        <f>MAX(J16,I16,M16,L16)</f>
        <v>474</v>
      </c>
    </row>
    <row r="23" spans="2:57">
      <c r="B23" s="329" t="s">
        <v>440</v>
      </c>
      <c r="C23" s="329">
        <f>IF(SUM('Phase designation'!B19:H19)&gt;2,0,SUM(AJ15:AL15,AJ31:AL31))</f>
        <v>12</v>
      </c>
      <c r="F23" s="101"/>
      <c r="H23" s="101"/>
      <c r="M23" s="101"/>
      <c r="N23" s="101"/>
      <c r="O23" s="77"/>
      <c r="S23" s="85"/>
      <c r="V23" s="101">
        <f>IF(O17&gt;=O11,140,C23/(1-(O17/O11)))</f>
        <v>189.84269662921344</v>
      </c>
      <c r="Y23" s="332" t="s">
        <v>449</v>
      </c>
      <c r="Z23" s="332" t="s">
        <v>450</v>
      </c>
      <c r="AA23" s="332" t="s">
        <v>451</v>
      </c>
      <c r="AB23" s="101" t="s">
        <v>309</v>
      </c>
      <c r="AC23" s="332" t="s">
        <v>452</v>
      </c>
      <c r="AI23" s="78" t="s">
        <v>389</v>
      </c>
      <c r="AJ23" s="78">
        <v>4</v>
      </c>
      <c r="AN23" s="77" t="s">
        <v>389</v>
      </c>
      <c r="AO23" s="362" t="s">
        <v>415</v>
      </c>
      <c r="AP23" s="362"/>
      <c r="AQ23" s="362"/>
      <c r="AS23" s="77" t="s">
        <v>389</v>
      </c>
      <c r="AT23" s="325">
        <f>MAX(J16,I16,M16,L16)</f>
        <v>474</v>
      </c>
    </row>
    <row r="24" spans="2:57">
      <c r="B24" s="331" t="s">
        <v>441</v>
      </c>
      <c r="C24" s="401">
        <f>IF(SUM('Phase designation'!B19:H19)&gt;2,0,C23/(1-(O17/O11)))</f>
        <v>189.84269662921344</v>
      </c>
      <c r="D24" s="524" t="s">
        <v>454</v>
      </c>
      <c r="E24" s="524"/>
      <c r="F24" s="408">
        <f>V25</f>
        <v>80</v>
      </c>
      <c r="H24" s="101"/>
      <c r="M24" s="101"/>
      <c r="N24" s="101"/>
      <c r="O24" s="77"/>
      <c r="U24" s="101" t="s">
        <v>453</v>
      </c>
      <c r="V24" s="101" t="s">
        <v>306</v>
      </c>
      <c r="Y24" s="3">
        <v>-100000</v>
      </c>
      <c r="Z24" s="3">
        <v>0</v>
      </c>
      <c r="AA24" s="3">
        <f>'Input sheet'!P8</f>
        <v>150</v>
      </c>
      <c r="AB24" s="101">
        <f>V23</f>
        <v>189.84269662921344</v>
      </c>
      <c r="AC24" s="3">
        <f>LOOKUP(AB24,Y24:Z37,AA24:AA37)</f>
        <v>150</v>
      </c>
      <c r="AI24" s="78" t="s">
        <v>390</v>
      </c>
      <c r="AJ24" s="78">
        <v>4</v>
      </c>
      <c r="AK24" s="77">
        <v>4</v>
      </c>
      <c r="AN24" s="77" t="s">
        <v>390</v>
      </c>
      <c r="AO24" s="362" t="s">
        <v>416</v>
      </c>
      <c r="AP24" s="362" t="s">
        <v>415</v>
      </c>
      <c r="AQ24" s="362"/>
      <c r="AS24" s="77" t="s">
        <v>390</v>
      </c>
      <c r="AT24" s="77">
        <f>L16</f>
        <v>0</v>
      </c>
      <c r="AU24" s="325">
        <f>MAX(M16-L16,J16)</f>
        <v>474</v>
      </c>
    </row>
    <row r="25" spans="2:57">
      <c r="B25" s="330" t="s">
        <v>442</v>
      </c>
      <c r="C25" s="245">
        <f>IF(SUM('Phase designation'!B19:H19)&gt;2,0,V27)</f>
        <v>150</v>
      </c>
      <c r="D25" s="77"/>
      <c r="E25" s="77"/>
      <c r="F25" s="77"/>
      <c r="G25" s="101"/>
      <c r="H25" s="101"/>
      <c r="I25" s="101"/>
      <c r="J25" s="101"/>
      <c r="K25" s="101"/>
      <c r="L25" s="101"/>
      <c r="M25" s="101"/>
      <c r="N25" s="101"/>
      <c r="O25" s="77"/>
      <c r="Q25" s="75"/>
      <c r="R25" s="75"/>
      <c r="S25" s="75"/>
      <c r="U25" s="3">
        <f>Phasing_calc!L27</f>
        <v>79</v>
      </c>
      <c r="V25" s="101">
        <f>10*ROUNDUP(U25/10,0)</f>
        <v>80</v>
      </c>
      <c r="Y25" s="3">
        <v>0</v>
      </c>
      <c r="Z25" s="3">
        <v>40</v>
      </c>
      <c r="AA25" s="3">
        <f>'Input sheet'!P7</f>
        <v>150</v>
      </c>
      <c r="AI25" s="78" t="s">
        <v>391</v>
      </c>
      <c r="AJ25" s="78">
        <v>4</v>
      </c>
      <c r="AK25" s="77">
        <v>4</v>
      </c>
      <c r="AN25" s="77" t="s">
        <v>391</v>
      </c>
      <c r="AO25" s="362" t="s">
        <v>417</v>
      </c>
      <c r="AP25" s="362" t="s">
        <v>415</v>
      </c>
      <c r="AQ25" s="362"/>
      <c r="AS25" s="77" t="s">
        <v>391</v>
      </c>
      <c r="AT25" s="77">
        <f>I16</f>
        <v>0</v>
      </c>
      <c r="AU25" s="77">
        <f>MAX(J16-I16,M16)</f>
        <v>474</v>
      </c>
    </row>
    <row r="26" spans="2:57" hidden="1">
      <c r="B26" s="77" t="s">
        <v>247</v>
      </c>
      <c r="C26" s="77">
        <f>C7</f>
        <v>30</v>
      </c>
      <c r="D26" s="77">
        <f>IF(AND(C18=0,C26&gt;0,D3=0),C26,D7)</f>
        <v>0</v>
      </c>
      <c r="E26" s="77"/>
      <c r="F26" s="77">
        <f>F7</f>
        <v>873</v>
      </c>
      <c r="G26" s="77">
        <f>IF(AND(F18=0,F26&gt;0,G3=0),F26,G7)</f>
        <v>0</v>
      </c>
      <c r="H26" s="77"/>
      <c r="I26" s="77">
        <f>I7</f>
        <v>16</v>
      </c>
      <c r="J26" s="77">
        <f>IF(AND(I18=0,I26&gt;0,J3=0),I26,J7)</f>
        <v>267</v>
      </c>
      <c r="K26" s="77"/>
      <c r="L26" s="77">
        <f>L7</f>
        <v>135</v>
      </c>
      <c r="M26" s="77">
        <f>IF(AND(L18=0,L26&gt;0,M3=0),L26,M7)</f>
        <v>515</v>
      </c>
      <c r="N26" s="77"/>
      <c r="O26" s="77"/>
      <c r="V26" s="292" t="s">
        <v>350</v>
      </c>
      <c r="Y26" s="3">
        <f>Z25+0.001</f>
        <v>40.000999999999998</v>
      </c>
      <c r="Z26" s="3">
        <f>Z25+10</f>
        <v>50</v>
      </c>
      <c r="AA26" s="3">
        <f>AA25+10</f>
        <v>160</v>
      </c>
      <c r="AI26" s="78" t="s">
        <v>392</v>
      </c>
      <c r="AJ26" s="78">
        <v>4</v>
      </c>
      <c r="AK26" s="77">
        <v>0</v>
      </c>
      <c r="AL26" s="77">
        <v>4</v>
      </c>
      <c r="AN26" s="77" t="s">
        <v>392</v>
      </c>
      <c r="AO26" s="362" t="s">
        <v>418</v>
      </c>
      <c r="AP26" s="362" t="s">
        <v>417</v>
      </c>
      <c r="AQ26" s="362" t="s">
        <v>415</v>
      </c>
      <c r="AS26" s="77" t="s">
        <v>392</v>
      </c>
      <c r="AT26" s="77">
        <f>L16</f>
        <v>0</v>
      </c>
      <c r="AU26" s="77">
        <f>I16-L16</f>
        <v>0</v>
      </c>
      <c r="AV26" s="77">
        <f>MAX(M16,J16-(I16-L16))</f>
        <v>474</v>
      </c>
    </row>
    <row r="27" spans="2:57" hidden="1">
      <c r="B27" s="77" t="s">
        <v>131</v>
      </c>
      <c r="C27" s="77">
        <f>IF(C18=0,0,MATCH(C26,'Max greens'!$B:$B))</f>
        <v>7</v>
      </c>
      <c r="D27" s="77">
        <f>IF(D18=0,0,MATCH(D26,'Max greens'!$B:$B))</f>
        <v>7</v>
      </c>
      <c r="E27" s="77"/>
      <c r="F27" s="77">
        <f>IF(F18=0,0,MATCH(F26,'Max greens'!$B:$B))</f>
        <v>16</v>
      </c>
      <c r="G27" s="77">
        <f>IF(G18=0,0,MATCH(G26,'Max greens'!$B:$B))</f>
        <v>7</v>
      </c>
      <c r="H27" s="77"/>
      <c r="I27" s="77">
        <f>IF(I18=0,0,MATCH(I26,'Max greens'!$B:$B))</f>
        <v>0</v>
      </c>
      <c r="J27" s="77">
        <f>IF(J18=0,0,MATCH(J26,'Max greens'!$B:$B))</f>
        <v>10</v>
      </c>
      <c r="K27" s="77"/>
      <c r="L27" s="77">
        <f>IF(L18=0,0,MATCH(L26,'Max greens'!$B:$B))</f>
        <v>0</v>
      </c>
      <c r="M27" s="77">
        <f>IF(M18=0,0,MATCH(M26,'Max greens'!$B:$B))</f>
        <v>13</v>
      </c>
      <c r="N27" s="77"/>
      <c r="O27" s="77"/>
      <c r="Q27" s="55"/>
      <c r="R27" s="503" t="s">
        <v>116</v>
      </c>
      <c r="S27" s="503"/>
      <c r="T27" s="503"/>
      <c r="U27" s="503"/>
      <c r="V27" s="77">
        <f>IF(MAX(V25,AC24)&gt;='Input sheet'!P8,'Input sheet'!P8,MAX(V25,AC24))</f>
        <v>150</v>
      </c>
      <c r="Y27" s="332">
        <f t="shared" ref="Y27:Y36" si="4">Z26+0.001</f>
        <v>50.000999999999998</v>
      </c>
      <c r="Z27" s="332">
        <f t="shared" ref="Z27:Z35" si="5">Z26+10</f>
        <v>60</v>
      </c>
      <c r="AA27" s="332">
        <f t="shared" ref="AA27:AA36" si="6">AA26+10</f>
        <v>170</v>
      </c>
      <c r="AI27" s="78" t="s">
        <v>393</v>
      </c>
      <c r="AJ27" s="78">
        <v>4</v>
      </c>
      <c r="AK27" s="77">
        <v>0</v>
      </c>
      <c r="AL27" s="77">
        <v>4</v>
      </c>
      <c r="AN27" s="77" t="s">
        <v>393</v>
      </c>
      <c r="AO27" s="362" t="s">
        <v>418</v>
      </c>
      <c r="AP27" s="362" t="s">
        <v>416</v>
      </c>
      <c r="AQ27" s="362" t="s">
        <v>415</v>
      </c>
      <c r="AS27" s="77" t="s">
        <v>393</v>
      </c>
      <c r="AT27" s="77">
        <f>I16</f>
        <v>0</v>
      </c>
      <c r="AU27" s="77">
        <f>L16-I16</f>
        <v>0</v>
      </c>
      <c r="AV27" s="77">
        <f>MAX(J16,M16-(L16-I16))</f>
        <v>474</v>
      </c>
    </row>
    <row r="28" spans="2:57" hidden="1">
      <c r="B28" s="77" t="s">
        <v>132</v>
      </c>
      <c r="C28" s="77">
        <f>IF(SUM('Phase designation'!B19:H19)&gt;2,0,MATCH($C$25,'Max greens'!5:5))</f>
        <v>14</v>
      </c>
      <c r="D28" s="77">
        <f>IF(SUM('Phase designation'!B19:H19)&gt;2,0,MATCH($C$25,'Max greens'!5:5))</f>
        <v>14</v>
      </c>
      <c r="E28" s="77"/>
      <c r="F28" s="77">
        <f>IF(SUM('Phase designation'!B19:H19)&gt;2,0,MATCH($C$25,'Max greens'!5:5))</f>
        <v>14</v>
      </c>
      <c r="G28" s="77">
        <f>IF(SUM('Phase designation'!B19:H19)&gt;2,0,MATCH($C$25,'Max greens'!5:5))</f>
        <v>14</v>
      </c>
      <c r="H28" s="77"/>
      <c r="I28" s="77">
        <f>IF(SUM('Phase designation'!B19:H19)&gt;2,0,MATCH($C$25,'Max greens'!5:5))</f>
        <v>14</v>
      </c>
      <c r="J28" s="77">
        <f>IF(SUM('Phase designation'!B19:H19)&gt;2,0,MATCH($C$25,'Max greens'!5:5))</f>
        <v>14</v>
      </c>
      <c r="K28" s="77"/>
      <c r="L28" s="77">
        <f>IF(SUM('Phase designation'!B19:H19)&gt;2,0,MATCH($C$25,'Max greens'!5:5))</f>
        <v>14</v>
      </c>
      <c r="M28" s="77">
        <f>IF(SUM('Phase designation'!B19:H19)&gt;2,0,MATCH($C$25,'Max greens'!5:5))</f>
        <v>14</v>
      </c>
      <c r="N28" s="77"/>
      <c r="O28" s="77"/>
      <c r="Q28" s="56"/>
      <c r="R28" s="57" t="str">
        <f>'Phase designation'!K35</f>
        <v/>
      </c>
      <c r="S28" s="57" t="str">
        <f>'Phase designation'!L35</f>
        <v>b</v>
      </c>
      <c r="T28" s="57" t="str">
        <f>'Phase designation'!M35</f>
        <v/>
      </c>
      <c r="U28" s="57"/>
      <c r="Y28" s="332">
        <f t="shared" si="4"/>
        <v>60.000999999999998</v>
      </c>
      <c r="Z28" s="332">
        <f t="shared" si="5"/>
        <v>70</v>
      </c>
      <c r="AA28" s="332">
        <f t="shared" si="6"/>
        <v>180</v>
      </c>
      <c r="AI28" s="78">
        <v>4</v>
      </c>
      <c r="AJ28" s="78">
        <v>4</v>
      </c>
      <c r="AK28" s="77">
        <v>4</v>
      </c>
      <c r="AN28" s="77">
        <v>4</v>
      </c>
      <c r="AO28" s="362" t="s">
        <v>417</v>
      </c>
      <c r="AP28" s="362" t="s">
        <v>416</v>
      </c>
      <c r="AQ28" s="362"/>
      <c r="AS28" s="77">
        <v>4</v>
      </c>
      <c r="AT28" s="77">
        <f>MAX(J16,I16)</f>
        <v>246</v>
      </c>
      <c r="AU28" s="77">
        <f>MAX(M16,L16)</f>
        <v>474</v>
      </c>
    </row>
    <row r="29" spans="2:57" hidden="1">
      <c r="B29" s="325" t="s">
        <v>259</v>
      </c>
      <c r="C29" s="385">
        <f>MAX(INDEX('Max greens'!1:1048576,C27,C28),C34-C35-C36)</f>
        <v>5</v>
      </c>
      <c r="D29" s="385">
        <f>MAX(INDEX('Max greens'!1:1048576,D27,D28),D34-D35-D36)</f>
        <v>25.5</v>
      </c>
      <c r="E29" s="385">
        <f>D29</f>
        <v>25.5</v>
      </c>
      <c r="F29" s="385">
        <f>MAX(INDEX('Max greens'!1:1048576,F27,F28),F34-F35-F36)</f>
        <v>102</v>
      </c>
      <c r="G29" s="385">
        <f>MAX(INDEX('Max greens'!1:1048576,G27,G28),G34-G35-G36)</f>
        <v>39.299999999999997</v>
      </c>
      <c r="H29" s="385">
        <f>G29</f>
        <v>39.299999999999997</v>
      </c>
      <c r="I29" s="385">
        <f>MAX(INDEX('Max greens'!1:1048576,I27,I28),I34-I35-I36)</f>
        <v>150</v>
      </c>
      <c r="J29" s="385">
        <f>MAX(INDEX('Max greens'!1:1048576,J27,J28),J34-J35-J36)</f>
        <v>90.199999999999989</v>
      </c>
      <c r="K29" s="385">
        <f>J29</f>
        <v>90.199999999999989</v>
      </c>
      <c r="L29" s="385">
        <f>MAX(INDEX('Max greens'!1:1048576,L27,L28),L34-L35-L36)</f>
        <v>150</v>
      </c>
      <c r="M29" s="385">
        <f>MAX(INDEX('Max greens'!1:1048576,M27,M28),M34-M35-M36)</f>
        <v>90.199999999999989</v>
      </c>
      <c r="N29" s="385">
        <f>M29</f>
        <v>90.199999999999989</v>
      </c>
      <c r="O29" s="77"/>
      <c r="Q29" s="59" t="s">
        <v>108</v>
      </c>
      <c r="R29" s="80">
        <f>'Phase designation'!K36</f>
        <v>0</v>
      </c>
      <c r="S29" s="80">
        <f>'Phase designation'!L36</f>
        <v>2</v>
      </c>
      <c r="T29" s="80">
        <f>'Phase designation'!M36</f>
        <v>3</v>
      </c>
      <c r="U29" s="80">
        <f>'Phase designation'!N36</f>
        <v>4</v>
      </c>
      <c r="Y29" s="332">
        <f t="shared" si="4"/>
        <v>70.001000000000005</v>
      </c>
      <c r="Z29" s="332">
        <f t="shared" si="5"/>
        <v>80</v>
      </c>
      <c r="AA29" s="332">
        <f t="shared" si="6"/>
        <v>190</v>
      </c>
    </row>
    <row r="30" spans="2:57" hidden="1">
      <c r="B30" s="325" t="s">
        <v>433</v>
      </c>
      <c r="C30" s="77">
        <f>IF(SUM('Phase designation'!B19:H19)&gt;2,0,AQ54)</f>
        <v>7</v>
      </c>
      <c r="D30" s="325">
        <f>IF(SUM('Phase designation'!B19:H19)&gt;2,0,AR54)</f>
        <v>0</v>
      </c>
      <c r="E30" s="325">
        <f>IF(SUM('Phase designation'!B19:H19)&gt;2,0,AS54)</f>
        <v>0</v>
      </c>
      <c r="F30" s="325">
        <f>IF(SUM('Phase designation'!B19:H19)&gt;2,0,AT54)</f>
        <v>92.4</v>
      </c>
      <c r="G30" s="325">
        <f>IF(SUM('Phase designation'!B19:H19)&gt;2,0,AU54)</f>
        <v>85.4</v>
      </c>
      <c r="H30" s="325">
        <f>IF(SUM('Phase designation'!B19:H19)&gt;2,0,AV54)</f>
        <v>85.4</v>
      </c>
      <c r="I30" s="325">
        <f>IF(SUM('Phase designation'!B19:H19)&gt;2,0,AW54)</f>
        <v>0</v>
      </c>
      <c r="J30" s="325">
        <f>IF(SUM('Phase designation'!B19:H19)&gt;2,0,AX54)</f>
        <v>53.6</v>
      </c>
      <c r="K30" s="325">
        <f>IF(SUM('Phase designation'!B19:H19)&gt;2,0,AY54)</f>
        <v>53.6</v>
      </c>
      <c r="L30" s="325">
        <f>IF(SUM('Phase designation'!B19:H19)&gt;2,0,AZ54)</f>
        <v>0</v>
      </c>
      <c r="M30" s="325">
        <f>IF(SUM('Phase designation'!B19:H19)&gt;2,0,BA54)</f>
        <v>53.6</v>
      </c>
      <c r="N30" s="325">
        <f>IF(SUM('Phase designation'!B19:H19)&gt;2,0,BB54)</f>
        <v>53.6</v>
      </c>
      <c r="O30" s="77"/>
      <c r="Q30" s="61" t="s">
        <v>109</v>
      </c>
      <c r="R30" s="80">
        <f>'Phase designation'!K37</f>
        <v>0</v>
      </c>
      <c r="S30" s="80">
        <f>'Phase designation'!L37</f>
        <v>6</v>
      </c>
      <c r="T30" s="80">
        <f>'Phase designation'!M37</f>
        <v>7</v>
      </c>
      <c r="U30" s="80">
        <f>'Phase designation'!N37</f>
        <v>8</v>
      </c>
      <c r="Y30" s="332">
        <f t="shared" si="4"/>
        <v>80.001000000000005</v>
      </c>
      <c r="Z30" s="332">
        <f t="shared" si="5"/>
        <v>90</v>
      </c>
      <c r="AA30" s="332">
        <f t="shared" si="6"/>
        <v>200</v>
      </c>
      <c r="AH30" s="365" t="s">
        <v>405</v>
      </c>
      <c r="AI30" s="364" t="str">
        <f>AB21</f>
        <v>1a</v>
      </c>
      <c r="AJ30" s="167"/>
      <c r="AK30" s="319"/>
      <c r="AL30" s="319"/>
    </row>
    <row r="31" spans="2:57" s="69" customFormat="1">
      <c r="B31" s="77"/>
      <c r="C31" s="77"/>
      <c r="D31" s="77"/>
      <c r="E31" s="77"/>
      <c r="F31" s="77"/>
      <c r="G31" s="77"/>
      <c r="H31" s="77"/>
      <c r="I31" s="77"/>
      <c r="J31" s="77"/>
      <c r="K31" s="77"/>
      <c r="L31" s="77"/>
      <c r="M31" s="77"/>
      <c r="N31" s="77"/>
      <c r="O31" s="325"/>
      <c r="P31" s="292"/>
      <c r="Q31" s="62" t="s">
        <v>108</v>
      </c>
      <c r="R31" s="87">
        <f t="shared" ref="R31:U32" si="7">IF(R29=0,0,1)</f>
        <v>0</v>
      </c>
      <c r="S31" s="87">
        <f t="shared" si="7"/>
        <v>1</v>
      </c>
      <c r="T31" s="87">
        <f t="shared" si="7"/>
        <v>1</v>
      </c>
      <c r="U31" s="87">
        <f t="shared" si="7"/>
        <v>1</v>
      </c>
      <c r="Y31" s="332">
        <f t="shared" si="4"/>
        <v>90.001000000000005</v>
      </c>
      <c r="Z31" s="332">
        <f t="shared" si="5"/>
        <v>100</v>
      </c>
      <c r="AA31" s="332">
        <f t="shared" si="6"/>
        <v>210</v>
      </c>
      <c r="AE31" s="78"/>
      <c r="AF31" s="78"/>
      <c r="AG31" s="78"/>
      <c r="AH31" s="78"/>
      <c r="AI31" s="167" t="s">
        <v>408</v>
      </c>
      <c r="AJ31" s="167">
        <f>INDEX(AJ21:AJ28,MATCH($AI$30,$AI$21:$AI$28,0))</f>
        <v>4</v>
      </c>
      <c r="AK31" s="167">
        <f>INDEX(AK21:AK28,MATCH($AI$30,$AI$21:$AI$28,0))</f>
        <v>0</v>
      </c>
      <c r="AL31" s="167">
        <f>INDEX(AL21:AL28,MATCH($AI$30,$AI$21:$AI$28,0))</f>
        <v>0</v>
      </c>
      <c r="AM31" s="77"/>
      <c r="AN31" s="77"/>
      <c r="AO31" s="77"/>
      <c r="AP31" s="77"/>
      <c r="AQ31" s="77"/>
      <c r="AR31" s="77"/>
      <c r="AS31" s="77"/>
      <c r="AT31" s="77"/>
      <c r="AU31" s="77"/>
      <c r="AV31" s="77"/>
    </row>
    <row r="32" spans="2:57">
      <c r="B32" s="254" t="s">
        <v>76</v>
      </c>
      <c r="C32" s="387" t="str">
        <f>C2</f>
        <v>EBL</v>
      </c>
      <c r="D32" s="388" t="str">
        <f>D2</f>
        <v>EBT</v>
      </c>
      <c r="E32" s="388" t="s">
        <v>15</v>
      </c>
      <c r="F32" s="387" t="s">
        <v>18</v>
      </c>
      <c r="G32" s="388" t="s">
        <v>19</v>
      </c>
      <c r="H32" s="388" t="s">
        <v>20</v>
      </c>
      <c r="I32" s="387" t="s">
        <v>3</v>
      </c>
      <c r="J32" s="388" t="s">
        <v>4</v>
      </c>
      <c r="K32" s="388" t="s">
        <v>5</v>
      </c>
      <c r="L32" s="387" t="s">
        <v>8</v>
      </c>
      <c r="M32" s="388" t="s">
        <v>9</v>
      </c>
      <c r="N32" s="388" t="s">
        <v>10</v>
      </c>
      <c r="O32" s="325"/>
      <c r="Q32" s="47" t="s">
        <v>109</v>
      </c>
      <c r="R32" s="87">
        <f t="shared" si="7"/>
        <v>0</v>
      </c>
      <c r="S32" s="87">
        <f t="shared" si="7"/>
        <v>1</v>
      </c>
      <c r="T32" s="87">
        <f t="shared" si="7"/>
        <v>1</v>
      </c>
      <c r="U32" s="87">
        <f t="shared" si="7"/>
        <v>1</v>
      </c>
      <c r="Y32" s="332">
        <f t="shared" si="4"/>
        <v>100.001</v>
      </c>
      <c r="Z32" s="332">
        <f t="shared" si="5"/>
        <v>110</v>
      </c>
      <c r="AA32" s="332">
        <f t="shared" si="6"/>
        <v>220</v>
      </c>
      <c r="AI32" s="167" t="s">
        <v>409</v>
      </c>
      <c r="AJ32" s="167" t="str">
        <f>INDEX(AO21:AO28,MATCH($AI$30,$AN$21:$AN$28,0))</f>
        <v>NBSBTH</v>
      </c>
      <c r="AK32" s="167">
        <f>INDEX(AP21:AP28,MATCH($AI$30,$AN$21:$AN$28,0))</f>
        <v>0</v>
      </c>
      <c r="AL32" s="167">
        <f>INDEX(AQ21:AQ28,MATCH($AI$30,$AN$21:$AN$28,0))</f>
        <v>0</v>
      </c>
    </row>
    <row r="33" spans="2:59">
      <c r="B33" s="77" t="s">
        <v>127</v>
      </c>
      <c r="C33" s="251">
        <f>IF('Phase designation'!B19=2,D33,IF(SUM('Phase designation'!B19:H19)&gt;2,0,C18))</f>
        <v>7</v>
      </c>
      <c r="D33" s="252">
        <f>IF(SUM('Phase designation'!B19:H19)&gt;2,0,D18)</f>
        <v>4</v>
      </c>
      <c r="E33" s="252">
        <f>IF(SUM('Phase designation'!B19:H19)&gt;2,0,D33)</f>
        <v>4</v>
      </c>
      <c r="F33" s="251">
        <f>IF('Phase designation'!D19=2,G33,IF(SUM('Phase designation'!B19:H19)&gt;2,0,F18))</f>
        <v>3</v>
      </c>
      <c r="G33" s="252">
        <f>IF(SUM('Phase designation'!B19:H19)&gt;2,0,G18)</f>
        <v>8</v>
      </c>
      <c r="H33" s="252">
        <f>IF(SUM('Phase designation'!B19:H19)&gt;2,0,G33)</f>
        <v>8</v>
      </c>
      <c r="I33" s="251">
        <f>IF('Phase designation'!F19=2,J33,IF(SUM('Phase designation'!B19:H19)&gt;2,0,I18))</f>
        <v>0</v>
      </c>
      <c r="J33" s="252">
        <f>IF(SUM('Phase designation'!B19:H19)&gt;2,0,J18)</f>
        <v>2</v>
      </c>
      <c r="K33" s="252">
        <f>IF(SUM('Phase designation'!B19:H19)&gt;2,0,J33)</f>
        <v>2</v>
      </c>
      <c r="L33" s="251">
        <f>IF('Phase designation'!H19=2,M33,IF(SUM('Phase designation'!B19:H19)&gt;2,0,L18))</f>
        <v>0</v>
      </c>
      <c r="M33" s="252">
        <f>IF(SUM('Phase designation'!B19:H19)&gt;2,0,M18)</f>
        <v>6</v>
      </c>
      <c r="N33" s="252">
        <f>IF(SUM('Phase designation'!B19:H19)&gt;2,0,M33)</f>
        <v>6</v>
      </c>
      <c r="O33" s="325"/>
      <c r="Y33" s="332">
        <f t="shared" si="4"/>
        <v>110.001</v>
      </c>
      <c r="Z33" s="332">
        <f t="shared" si="5"/>
        <v>120</v>
      </c>
      <c r="AA33" s="332">
        <f t="shared" si="6"/>
        <v>230</v>
      </c>
      <c r="AI33" s="167" t="s">
        <v>410</v>
      </c>
      <c r="AJ33" s="167">
        <f>INDEX(AT21:AT28,MATCH($AI$30,$AS$21:$AS$28,0))</f>
        <v>474</v>
      </c>
      <c r="AK33" s="167">
        <f>INDEX(AU21:AU28,MATCH($AI$30,$AS$21:$AS$28,0))</f>
        <v>0</v>
      </c>
      <c r="AL33" s="167">
        <f>INDEX(AV21:AV28,MATCH($AI$30,$AS$21:$AS$28,0))</f>
        <v>0</v>
      </c>
      <c r="AP33" s="526" t="s">
        <v>404</v>
      </c>
      <c r="AQ33" s="319" t="str">
        <f>AJ16</f>
        <v>EBWBLT</v>
      </c>
      <c r="AR33" s="319" t="str">
        <f>AK16</f>
        <v>WBTHLT</v>
      </c>
      <c r="AS33" s="319" t="str">
        <f>AL16</f>
        <v>EBWBTH</v>
      </c>
      <c r="AT33" s="243"/>
      <c r="AU33" s="243"/>
      <c r="AV33" s="243"/>
      <c r="AW33" s="243"/>
      <c r="AX33" s="243"/>
      <c r="AY33" s="243"/>
      <c r="AZ33" s="243"/>
      <c r="BA33" s="243"/>
      <c r="BB33" s="243"/>
    </row>
    <row r="34" spans="2:59">
      <c r="B34" s="257" t="s">
        <v>137</v>
      </c>
      <c r="C34" s="326">
        <f>IF(C33=0,0,INDEX($Q$70:$X$70,1,Q75))</f>
        <v>9</v>
      </c>
      <c r="D34" s="327">
        <f>IF(D33=0,0,INDEX($Q$70:$X$70,1,R75))</f>
        <v>31</v>
      </c>
      <c r="E34" s="327">
        <f>D34</f>
        <v>31</v>
      </c>
      <c r="F34" s="326">
        <f>IF(F33=0,0,INDEX($Q$70:$X$70,1,S75))</f>
        <v>23</v>
      </c>
      <c r="G34" s="327">
        <f>IF(G33=0,0,INDEX($Q$70:$X$70,1,T75))</f>
        <v>45</v>
      </c>
      <c r="H34" s="327">
        <f>G34</f>
        <v>45</v>
      </c>
      <c r="I34" s="326">
        <f>IF(I33=0,0,INDEX($Q$70:$X$70,1,U75))</f>
        <v>0</v>
      </c>
      <c r="J34" s="327">
        <f>IF(J33=0,0,INDEX($Q$70:$X$70,1,V75))</f>
        <v>96</v>
      </c>
      <c r="K34" s="327">
        <f>J34</f>
        <v>96</v>
      </c>
      <c r="L34" s="326">
        <f>IF(L33=0,0,INDEX($Q$70:$X$70,1,W75))</f>
        <v>0</v>
      </c>
      <c r="M34" s="327">
        <f>IF(M33=0,0,INDEX($Q$70:$X$70,1,X75))</f>
        <v>96</v>
      </c>
      <c r="N34" s="327">
        <f>M34</f>
        <v>96</v>
      </c>
      <c r="O34" s="325"/>
      <c r="Y34" s="332">
        <f t="shared" si="4"/>
        <v>120.001</v>
      </c>
      <c r="Z34" s="332">
        <f t="shared" si="5"/>
        <v>130</v>
      </c>
      <c r="AA34" s="332">
        <f t="shared" si="6"/>
        <v>240</v>
      </c>
      <c r="AI34" s="366" t="s">
        <v>419</v>
      </c>
      <c r="AJ34" s="366">
        <f>IF(AJ33=0,0,ROUND(($C$25-$C$23)*(AJ33/$O$17)+AJ31,1))</f>
        <v>53.6</v>
      </c>
      <c r="AK34" s="366">
        <f>IF(AK33=0,0,ROUND(($C$25-$C$23)*(AK33/$O$17)+AK31,1))</f>
        <v>0</v>
      </c>
      <c r="AL34" s="366">
        <f>IF(AL33=0,0,ROUND(($C$25-$C$23)*(AL33/$O$17)+AL31,1))</f>
        <v>0</v>
      </c>
      <c r="AP34" s="526"/>
      <c r="AQ34" s="305">
        <f>AJ18</f>
        <v>7</v>
      </c>
      <c r="AR34" s="305">
        <f>AK18</f>
        <v>85.4</v>
      </c>
      <c r="AS34" s="305">
        <f>AL18</f>
        <v>0</v>
      </c>
      <c r="AT34" s="3"/>
      <c r="AU34" s="3"/>
      <c r="AV34" s="3"/>
    </row>
    <row r="35" spans="2:59" s="240" customFormat="1">
      <c r="B35" s="77" t="s">
        <v>264</v>
      </c>
      <c r="C35" s="251">
        <f>Phasing_calc!O8</f>
        <v>3</v>
      </c>
      <c r="D35" s="252">
        <f>Phasing_calc!P8</f>
        <v>3</v>
      </c>
      <c r="E35" s="252">
        <f>D35</f>
        <v>3</v>
      </c>
      <c r="F35" s="251">
        <f>Phasing_calc!Q8</f>
        <v>3.2</v>
      </c>
      <c r="G35" s="252">
        <f>Phasing_calc!R8</f>
        <v>3.2</v>
      </c>
      <c r="H35" s="252">
        <f>G35</f>
        <v>3.2</v>
      </c>
      <c r="I35" s="251">
        <f>Phasing_calc!S8</f>
        <v>3.9</v>
      </c>
      <c r="J35" s="252">
        <f>Phasing_calc!T8</f>
        <v>3.9</v>
      </c>
      <c r="K35" s="252">
        <f>J35</f>
        <v>3.9</v>
      </c>
      <c r="L35" s="251">
        <f>Phasing_calc!U8</f>
        <v>3.9</v>
      </c>
      <c r="M35" s="252">
        <f>Phasing_calc!V8</f>
        <v>3.9</v>
      </c>
      <c r="N35" s="252">
        <f>M35</f>
        <v>3.9</v>
      </c>
      <c r="O35" s="325"/>
      <c r="P35" s="292"/>
      <c r="Q35" s="77">
        <f>C33</f>
        <v>7</v>
      </c>
      <c r="R35" s="77">
        <f>D33</f>
        <v>4</v>
      </c>
      <c r="S35" s="77">
        <f>F33</f>
        <v>3</v>
      </c>
      <c r="T35" s="77">
        <f>G33</f>
        <v>8</v>
      </c>
      <c r="U35" s="77">
        <f>I33</f>
        <v>0</v>
      </c>
      <c r="V35" s="77">
        <f>J33</f>
        <v>2</v>
      </c>
      <c r="W35" s="77">
        <f>L33</f>
        <v>0</v>
      </c>
      <c r="X35" s="77">
        <f>M33</f>
        <v>6</v>
      </c>
      <c r="Y35" s="332">
        <f t="shared" si="4"/>
        <v>130.001</v>
      </c>
      <c r="Z35" s="332">
        <f t="shared" si="5"/>
        <v>140</v>
      </c>
      <c r="AA35" s="332">
        <f t="shared" si="6"/>
        <v>250</v>
      </c>
      <c r="AE35" s="78"/>
      <c r="AF35" s="78"/>
      <c r="AG35" s="78"/>
      <c r="AH35" s="78"/>
      <c r="AI35" s="78"/>
      <c r="AJ35" s="252"/>
      <c r="AK35" s="325"/>
      <c r="AL35" s="325"/>
      <c r="AM35" s="77"/>
      <c r="AN35" s="77"/>
      <c r="AO35" s="77"/>
      <c r="AP35" s="515" t="s">
        <v>405</v>
      </c>
      <c r="AQ35" s="319" t="str">
        <f>AJ32</f>
        <v>NBSBTH</v>
      </c>
      <c r="AR35" s="319">
        <f>AK32</f>
        <v>0</v>
      </c>
      <c r="AS35" s="319">
        <f>AL32</f>
        <v>0</v>
      </c>
      <c r="AT35" s="292"/>
      <c r="AU35" s="292"/>
      <c r="AV35" s="292"/>
      <c r="AW35" s="292"/>
      <c r="AX35" s="292"/>
      <c r="AY35" s="292"/>
      <c r="AZ35" s="292"/>
      <c r="BA35" s="292"/>
      <c r="BB35" s="292"/>
    </row>
    <row r="36" spans="2:59" s="240" customFormat="1">
      <c r="B36" s="257" t="s">
        <v>265</v>
      </c>
      <c r="C36" s="326">
        <f>Phasing_calc!O11</f>
        <v>2.5</v>
      </c>
      <c r="D36" s="327">
        <f>Phasing_calc!P11</f>
        <v>2.5</v>
      </c>
      <c r="E36" s="327">
        <f>D36</f>
        <v>2.5</v>
      </c>
      <c r="F36" s="326">
        <f>Phasing_calc!Q11</f>
        <v>2.5</v>
      </c>
      <c r="G36" s="327">
        <f>Phasing_calc!R11</f>
        <v>2.5</v>
      </c>
      <c r="H36" s="327">
        <f>G36</f>
        <v>2.5</v>
      </c>
      <c r="I36" s="326">
        <f>Phasing_calc!S11</f>
        <v>1.9</v>
      </c>
      <c r="J36" s="327">
        <f>Phasing_calc!T11</f>
        <v>1.9</v>
      </c>
      <c r="K36" s="327">
        <f>J36</f>
        <v>1.9</v>
      </c>
      <c r="L36" s="326">
        <f>Phasing_calc!U11</f>
        <v>1.9</v>
      </c>
      <c r="M36" s="327">
        <f>Phasing_calc!V11</f>
        <v>1.9</v>
      </c>
      <c r="N36" s="327">
        <f>M36</f>
        <v>1.9</v>
      </c>
      <c r="O36" s="325"/>
      <c r="P36" s="292"/>
      <c r="Q36" s="78">
        <f>Q43</f>
        <v>7</v>
      </c>
      <c r="R36" s="252">
        <f t="shared" ref="R36:X36" si="8">R43</f>
        <v>0</v>
      </c>
      <c r="S36" s="252">
        <f t="shared" si="8"/>
        <v>92.4</v>
      </c>
      <c r="T36" s="252">
        <f t="shared" si="8"/>
        <v>85.4</v>
      </c>
      <c r="U36" s="252">
        <f t="shared" si="8"/>
        <v>0</v>
      </c>
      <c r="V36" s="252">
        <f t="shared" si="8"/>
        <v>53.6</v>
      </c>
      <c r="W36" s="252">
        <f t="shared" si="8"/>
        <v>0</v>
      </c>
      <c r="X36" s="252">
        <f t="shared" si="8"/>
        <v>53.6</v>
      </c>
      <c r="Y36" s="332">
        <f t="shared" si="4"/>
        <v>140.001</v>
      </c>
      <c r="Z36" s="332">
        <f>Z35+10</f>
        <v>150</v>
      </c>
      <c r="AA36" s="332">
        <f t="shared" si="6"/>
        <v>260</v>
      </c>
      <c r="AE36" s="78"/>
      <c r="AF36" s="78"/>
      <c r="AG36" s="78"/>
      <c r="AH36" s="78"/>
      <c r="AI36" s="78"/>
      <c r="AJ36" s="252"/>
      <c r="AK36" s="325"/>
      <c r="AL36" s="325"/>
      <c r="AM36" s="77"/>
      <c r="AN36" s="77"/>
      <c r="AO36" s="77"/>
      <c r="AP36" s="515"/>
      <c r="AQ36" s="305">
        <f>AJ34</f>
        <v>53.6</v>
      </c>
      <c r="AR36" s="305">
        <f>AK34</f>
        <v>0</v>
      </c>
      <c r="AS36" s="305">
        <f>AL34</f>
        <v>0</v>
      </c>
      <c r="AT36" s="164"/>
      <c r="AU36" s="164"/>
      <c r="AV36" s="164"/>
      <c r="AW36" s="164"/>
      <c r="AX36" s="164"/>
      <c r="AY36" s="164"/>
      <c r="AZ36" s="164"/>
      <c r="BA36" s="164"/>
      <c r="BB36" s="164"/>
    </row>
    <row r="37" spans="2:59" s="240" customFormat="1">
      <c r="B37" s="77" t="s">
        <v>338</v>
      </c>
      <c r="C37" s="251">
        <f>MAX(0,SUMPRODUCT(C68:C70,D68:D70))</f>
        <v>23.5</v>
      </c>
      <c r="D37" s="252">
        <f>MAX(0,D34-D35-D36)</f>
        <v>25.5</v>
      </c>
      <c r="E37" s="252">
        <f>D37</f>
        <v>25.5</v>
      </c>
      <c r="F37" s="251">
        <f>MAX(0,SUMPRODUCT(F68:F70,G68:G70))</f>
        <v>50.899999999999991</v>
      </c>
      <c r="G37" s="252">
        <f>MAX(0,G34-G35-G36)</f>
        <v>39.299999999999997</v>
      </c>
      <c r="H37" s="252">
        <f>G37</f>
        <v>39.299999999999997</v>
      </c>
      <c r="I37" s="251">
        <f>MAX(0,SUMPRODUCT(I68:I70,J68:J70))</f>
        <v>90.199999999999989</v>
      </c>
      <c r="J37" s="252">
        <f>MAX(0,J34-J35-J36)</f>
        <v>90.199999999999989</v>
      </c>
      <c r="K37" s="252">
        <f>J37</f>
        <v>90.199999999999989</v>
      </c>
      <c r="L37" s="251">
        <f>MAX(0,SUMPRODUCT(L68:L70,M68:M70))</f>
        <v>90.199999999999989</v>
      </c>
      <c r="M37" s="252">
        <f>MAX(0,M34-M35-M36)</f>
        <v>90.199999999999989</v>
      </c>
      <c r="N37" s="252">
        <f>M37</f>
        <v>90.199999999999989</v>
      </c>
      <c r="O37" s="325"/>
      <c r="P37" s="292"/>
      <c r="Q37" s="78"/>
      <c r="R37" s="78"/>
      <c r="S37" s="78"/>
      <c r="T37" s="78"/>
      <c r="U37" s="78"/>
      <c r="V37" s="78"/>
      <c r="W37" s="78"/>
      <c r="X37" s="78"/>
      <c r="Y37" s="240">
        <v>150.001</v>
      </c>
      <c r="Z37" s="332">
        <v>100000</v>
      </c>
      <c r="AA37" s="332">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142</v>
      </c>
      <c r="BG37" s="166" t="s">
        <v>224</v>
      </c>
    </row>
    <row r="38" spans="2:59" s="240" customFormat="1">
      <c r="B38" s="257" t="s">
        <v>339</v>
      </c>
      <c r="C38" s="326">
        <f>IF(C37=0,0,(C37+C36+C35)-C20)</f>
        <v>25</v>
      </c>
      <c r="D38" s="327">
        <f t="shared" ref="D38:N38" si="9">IF(D37=0,0,(D37+D36+D35)-D20)</f>
        <v>27</v>
      </c>
      <c r="E38" s="327">
        <f t="shared" si="9"/>
        <v>27</v>
      </c>
      <c r="F38" s="326">
        <f t="shared" si="9"/>
        <v>52.599999999999994</v>
      </c>
      <c r="G38" s="327">
        <f t="shared" si="9"/>
        <v>41</v>
      </c>
      <c r="H38" s="327">
        <f t="shared" si="9"/>
        <v>41</v>
      </c>
      <c r="I38" s="326">
        <f t="shared" si="9"/>
        <v>92</v>
      </c>
      <c r="J38" s="327">
        <f t="shared" si="9"/>
        <v>92</v>
      </c>
      <c r="K38" s="327">
        <f t="shared" si="9"/>
        <v>92</v>
      </c>
      <c r="L38" s="326">
        <f t="shared" si="9"/>
        <v>92</v>
      </c>
      <c r="M38" s="327">
        <f t="shared" si="9"/>
        <v>92</v>
      </c>
      <c r="N38" s="327">
        <f t="shared" si="9"/>
        <v>92</v>
      </c>
      <c r="O38" s="325"/>
      <c r="P38" s="292"/>
      <c r="Q38" s="78"/>
      <c r="R38" s="78"/>
      <c r="S38" s="78"/>
      <c r="T38" s="78"/>
      <c r="U38" s="78"/>
      <c r="V38" s="78"/>
      <c r="W38" s="78"/>
      <c r="X38" s="78"/>
      <c r="AE38" s="78"/>
      <c r="AF38" s="78"/>
      <c r="AG38" s="78"/>
      <c r="AH38" s="78"/>
      <c r="AI38" s="78"/>
      <c r="AJ38" s="78"/>
      <c r="AK38" s="77"/>
      <c r="AL38" s="77"/>
      <c r="AM38" s="77"/>
      <c r="AN38" s="77"/>
      <c r="AO38" s="77"/>
      <c r="AP38" s="391"/>
      <c r="AQ38" s="506" t="s">
        <v>420</v>
      </c>
      <c r="AR38" s="507"/>
      <c r="AS38" s="507"/>
      <c r="AT38" s="506" t="s">
        <v>421</v>
      </c>
      <c r="AU38" s="507"/>
      <c r="AV38" s="507"/>
      <c r="AW38" s="506" t="s">
        <v>422</v>
      </c>
      <c r="AX38" s="507"/>
      <c r="AY38" s="507"/>
      <c r="AZ38" s="506" t="s">
        <v>423</v>
      </c>
      <c r="BA38" s="507"/>
      <c r="BB38" s="507"/>
      <c r="BF38" s="166" t="s">
        <v>145</v>
      </c>
      <c r="BG38" s="67"/>
    </row>
    <row r="39" spans="2:59" s="320" customFormat="1">
      <c r="B39" s="325" t="s">
        <v>448</v>
      </c>
      <c r="C39" s="405">
        <f t="shared" ref="C39:N39" si="10">IF($C$25=0,0,C34/$C$25)</f>
        <v>0.06</v>
      </c>
      <c r="D39" s="404">
        <f t="shared" si="10"/>
        <v>0.20666666666666667</v>
      </c>
      <c r="E39" s="404">
        <f t="shared" si="10"/>
        <v>0.20666666666666667</v>
      </c>
      <c r="F39" s="405">
        <f t="shared" si="10"/>
        <v>0.15333333333333332</v>
      </c>
      <c r="G39" s="404">
        <f t="shared" si="10"/>
        <v>0.3</v>
      </c>
      <c r="H39" s="404">
        <f t="shared" si="10"/>
        <v>0.3</v>
      </c>
      <c r="I39" s="405">
        <f t="shared" si="10"/>
        <v>0</v>
      </c>
      <c r="J39" s="404">
        <f t="shared" si="10"/>
        <v>0.64</v>
      </c>
      <c r="K39" s="404">
        <f t="shared" si="10"/>
        <v>0.64</v>
      </c>
      <c r="L39" s="405">
        <f t="shared" si="10"/>
        <v>0</v>
      </c>
      <c r="M39" s="404">
        <f t="shared" si="10"/>
        <v>0.64</v>
      </c>
      <c r="N39" s="404">
        <f t="shared" si="10"/>
        <v>0.64</v>
      </c>
      <c r="O39" s="325"/>
      <c r="P39" s="325"/>
      <c r="Q39" s="252"/>
      <c r="R39" s="252"/>
      <c r="S39" s="252"/>
      <c r="T39" s="252"/>
      <c r="U39" s="252"/>
      <c r="V39" s="252"/>
      <c r="W39" s="252"/>
      <c r="X39" s="252"/>
      <c r="AE39" s="252"/>
      <c r="AF39" s="252"/>
      <c r="AG39" s="252"/>
      <c r="AH39" s="252"/>
      <c r="AI39" s="252"/>
      <c r="AJ39" s="252"/>
      <c r="AK39" s="325"/>
      <c r="AL39" s="325"/>
      <c r="AM39" s="325"/>
      <c r="AN39" s="325"/>
      <c r="AO39" s="325"/>
      <c r="AP39" s="391"/>
      <c r="AQ39" s="321" t="s">
        <v>424</v>
      </c>
      <c r="AR39" s="322" t="s">
        <v>425</v>
      </c>
      <c r="AS39" s="322" t="s">
        <v>426</v>
      </c>
      <c r="AT39" s="321" t="s">
        <v>424</v>
      </c>
      <c r="AU39" s="322" t="s">
        <v>425</v>
      </c>
      <c r="AV39" s="322" t="s">
        <v>426</v>
      </c>
      <c r="AW39" s="321" t="s">
        <v>424</v>
      </c>
      <c r="AX39" s="322" t="s">
        <v>425</v>
      </c>
      <c r="AY39" s="322" t="s">
        <v>426</v>
      </c>
      <c r="AZ39" s="321" t="s">
        <v>424</v>
      </c>
      <c r="BA39" s="322" t="s">
        <v>425</v>
      </c>
      <c r="BB39" s="322" t="s">
        <v>426</v>
      </c>
      <c r="BF39" s="166" t="s">
        <v>146</v>
      </c>
      <c r="BG39" s="156"/>
    </row>
    <row r="40" spans="2:59" s="415" customFormat="1">
      <c r="B40" s="257" t="s">
        <v>487</v>
      </c>
      <c r="C40" s="421">
        <f>IF(C11=0,0,C5/C11)</f>
        <v>2.130681818181818E-2</v>
      </c>
      <c r="D40" s="389">
        <f t="shared" ref="D40:M40" si="11">IF(D11=0,0,D5/D11)</f>
        <v>0</v>
      </c>
      <c r="E40" s="389"/>
      <c r="F40" s="421">
        <f t="shared" si="11"/>
        <v>0.62002840909090906</v>
      </c>
      <c r="G40" s="389">
        <f t="shared" si="11"/>
        <v>2.3679848448969926E-4</v>
      </c>
      <c r="H40" s="389"/>
      <c r="I40" s="421">
        <f t="shared" si="11"/>
        <v>0</v>
      </c>
      <c r="J40" s="389">
        <f t="shared" si="11"/>
        <v>0.18991238456073881</v>
      </c>
      <c r="K40" s="389"/>
      <c r="L40" s="421">
        <f t="shared" si="11"/>
        <v>0</v>
      </c>
      <c r="M40" s="389">
        <f t="shared" si="11"/>
        <v>0.36609045702107507</v>
      </c>
      <c r="N40" s="389"/>
      <c r="O40" s="417"/>
      <c r="P40" s="417"/>
      <c r="Q40" s="419"/>
      <c r="R40" s="419"/>
      <c r="S40" s="419"/>
      <c r="T40" s="419"/>
      <c r="U40" s="419"/>
      <c r="V40" s="419"/>
      <c r="W40" s="419"/>
      <c r="X40" s="419"/>
      <c r="AE40" s="419"/>
      <c r="AF40" s="419"/>
      <c r="AG40" s="419"/>
      <c r="AH40" s="419"/>
      <c r="AI40" s="419"/>
      <c r="AJ40" s="419"/>
      <c r="AK40" s="417"/>
      <c r="AL40" s="417"/>
      <c r="AM40" s="417"/>
      <c r="AN40" s="417"/>
      <c r="AO40" s="417"/>
      <c r="AP40" s="391"/>
      <c r="AQ40" s="413"/>
      <c r="AR40" s="414"/>
      <c r="AS40" s="414"/>
      <c r="AT40" s="413"/>
      <c r="AU40" s="414"/>
      <c r="AV40" s="414"/>
      <c r="AW40" s="413"/>
      <c r="AX40" s="414"/>
      <c r="AY40" s="414"/>
      <c r="AZ40" s="413"/>
      <c r="BA40" s="414"/>
      <c r="BB40" s="414"/>
      <c r="BF40" s="166" t="s">
        <v>147</v>
      </c>
      <c r="BG40" s="157"/>
    </row>
    <row r="41" spans="2:59" s="415" customFormat="1">
      <c r="B41" s="417" t="s">
        <v>486</v>
      </c>
      <c r="C41" s="405">
        <f>IF(C14=0,0,C5/C14)</f>
        <v>3.5502958579881658E-2</v>
      </c>
      <c r="D41" s="404"/>
      <c r="E41" s="404">
        <f t="shared" ref="E41:N41" si="12">IF(E14=0,0,E5/E14)</f>
        <v>7.4573863636363633E-2</v>
      </c>
      <c r="F41" s="405">
        <f t="shared" si="12"/>
        <v>0.67517401392111365</v>
      </c>
      <c r="G41" s="404"/>
      <c r="H41" s="404">
        <f t="shared" si="12"/>
        <v>0.43252840909090912</v>
      </c>
      <c r="I41" s="405">
        <f t="shared" si="12"/>
        <v>4.3596730245231606E-2</v>
      </c>
      <c r="J41" s="404"/>
      <c r="K41" s="404">
        <f t="shared" si="12"/>
        <v>0.10866477272727272</v>
      </c>
      <c r="L41" s="405">
        <f t="shared" si="12"/>
        <v>0.21462639109697934</v>
      </c>
      <c r="M41" s="404"/>
      <c r="N41" s="404">
        <f t="shared" si="12"/>
        <v>1.775568181818182E-2</v>
      </c>
      <c r="O41" s="417"/>
      <c r="P41" s="417"/>
      <c r="Q41" s="419"/>
      <c r="R41" s="419"/>
      <c r="S41" s="419"/>
      <c r="T41" s="419"/>
      <c r="U41" s="419"/>
      <c r="V41" s="419"/>
      <c r="W41" s="419"/>
      <c r="X41" s="419"/>
      <c r="AE41" s="419"/>
      <c r="AF41" s="419"/>
      <c r="AG41" s="419"/>
      <c r="AH41" s="419"/>
      <c r="AI41" s="419"/>
      <c r="AJ41" s="419"/>
      <c r="AK41" s="417"/>
      <c r="AL41" s="417"/>
      <c r="AM41" s="417"/>
      <c r="AN41" s="417"/>
      <c r="AO41" s="417"/>
      <c r="AP41" s="391"/>
      <c r="AQ41" s="413"/>
      <c r="AR41" s="414"/>
      <c r="AS41" s="414"/>
      <c r="AT41" s="413"/>
      <c r="AU41" s="414"/>
      <c r="AV41" s="414"/>
      <c r="AW41" s="413"/>
      <c r="AX41" s="414"/>
      <c r="AY41" s="414"/>
      <c r="AZ41" s="413"/>
      <c r="BA41" s="414"/>
      <c r="BB41" s="414"/>
      <c r="BF41" s="166" t="s">
        <v>148</v>
      </c>
      <c r="BG41" s="1"/>
    </row>
    <row r="42" spans="2:59" s="417" customFormat="1" hidden="1">
      <c r="B42" s="417" t="s">
        <v>488</v>
      </c>
      <c r="C42" s="404">
        <f>IF(C15=0,0,1)</f>
        <v>0</v>
      </c>
      <c r="D42" s="404">
        <f t="shared" ref="D42:N42" si="13">IF(D15=0,0,1)</f>
        <v>0</v>
      </c>
      <c r="E42" s="404">
        <f t="shared" si="13"/>
        <v>0</v>
      </c>
      <c r="F42" s="404">
        <f t="shared" si="13"/>
        <v>1</v>
      </c>
      <c r="G42" s="404">
        <f t="shared" si="13"/>
        <v>0</v>
      </c>
      <c r="H42" s="404">
        <f t="shared" si="13"/>
        <v>0</v>
      </c>
      <c r="I42" s="404">
        <f t="shared" si="13"/>
        <v>1</v>
      </c>
      <c r="J42" s="404">
        <f t="shared" si="13"/>
        <v>0</v>
      </c>
      <c r="K42" s="404">
        <f t="shared" si="13"/>
        <v>0</v>
      </c>
      <c r="L42" s="404">
        <f t="shared" si="13"/>
        <v>0</v>
      </c>
      <c r="M42" s="404">
        <f t="shared" si="13"/>
        <v>1</v>
      </c>
      <c r="N42" s="404">
        <f t="shared" si="13"/>
        <v>0</v>
      </c>
      <c r="Q42" s="419"/>
      <c r="R42" s="419"/>
      <c r="S42" s="419"/>
      <c r="T42" s="419"/>
      <c r="U42" s="419"/>
      <c r="V42" s="419"/>
      <c r="W42" s="419"/>
      <c r="X42" s="419"/>
      <c r="AE42" s="419"/>
      <c r="AF42" s="419"/>
      <c r="AG42" s="419"/>
      <c r="AH42" s="419"/>
      <c r="AI42" s="419"/>
      <c r="AJ42" s="419"/>
      <c r="AP42" s="422"/>
      <c r="AQ42" s="423"/>
      <c r="AR42" s="424"/>
      <c r="AS42" s="424"/>
      <c r="AT42" s="423"/>
      <c r="AU42" s="424"/>
      <c r="AV42" s="424"/>
      <c r="AW42" s="423"/>
      <c r="AX42" s="424"/>
      <c r="AY42" s="424"/>
      <c r="AZ42" s="423"/>
      <c r="BA42" s="424"/>
      <c r="BB42" s="424"/>
      <c r="BG42" s="62"/>
    </row>
    <row r="43" spans="2:59">
      <c r="B43" s="257" t="s">
        <v>138</v>
      </c>
      <c r="C43" s="326">
        <f>IF(C44=0,0,ROUND(C5/C44,2))</f>
        <v>0.28000000000000003</v>
      </c>
      <c r="D43" s="327">
        <f>IF(D44=0,0,ROUND(D5/D44,2))</f>
        <v>0</v>
      </c>
      <c r="E43" s="389">
        <f>IF(E44=0,0,E9/E44)</f>
        <v>0.20553359683794467</v>
      </c>
      <c r="F43" s="326">
        <f>IF(F44=0,0,ROUND(F5/F44,2))</f>
        <v>3.53</v>
      </c>
      <c r="G43" s="327">
        <f>IF(G44=0,0,ROUND(G5/G44,2))</f>
        <v>0</v>
      </c>
      <c r="H43" s="389">
        <f>IF(H44=0,0,H9/H44)</f>
        <v>0.78961038961038965</v>
      </c>
      <c r="I43" s="326">
        <f>IF(I44=0,0,ROUND(I5/I44,2))</f>
        <v>0.3</v>
      </c>
      <c r="J43" s="327">
        <f>IF(J44=0,0,ROUND(J5/J44,2))</f>
        <v>0.31</v>
      </c>
      <c r="K43" s="389">
        <f>IF(K44=0,0,K9/K44)</f>
        <v>8.7962962962962965E-2</v>
      </c>
      <c r="L43" s="326">
        <f>IF(L44=0,0,ROUND(L5/L44,2))</f>
        <v>2.33</v>
      </c>
      <c r="M43" s="327">
        <f>IF(M44=0,0,ROUND(M5/M44,2))</f>
        <v>0.6</v>
      </c>
      <c r="N43" s="389">
        <f>IF(N44=0,0,N9/N44)</f>
        <v>1.3888888888888888E-2</v>
      </c>
      <c r="Q43" s="78">
        <f>C30</f>
        <v>7</v>
      </c>
      <c r="R43" s="78">
        <f>D30</f>
        <v>0</v>
      </c>
      <c r="S43" s="78">
        <f>F30</f>
        <v>92.4</v>
      </c>
      <c r="T43" s="78">
        <f>G30</f>
        <v>85.4</v>
      </c>
      <c r="U43" s="78">
        <f>I30</f>
        <v>0</v>
      </c>
      <c r="V43" s="78">
        <f>J30</f>
        <v>53.6</v>
      </c>
      <c r="W43" s="78">
        <f>L30</f>
        <v>0</v>
      </c>
      <c r="X43" s="78">
        <f>M30</f>
        <v>53.6</v>
      </c>
      <c r="Y43" s="164"/>
      <c r="AP43" s="392" t="s">
        <v>411</v>
      </c>
      <c r="AQ43" s="393"/>
      <c r="AR43" s="392">
        <f>IF($AP$43=$AQ$33,$AQ$34,0)+IF($AP43=$AR$33,$AR$34,0)+IF($AP43=$AS$33,$AS$34,0)</f>
        <v>0</v>
      </c>
      <c r="AS43" s="392">
        <f>IF($AP$43=$AQ$33,$AQ$34,0)+IF($AP43=$AR$33,$AR$34,0)+IF($AP43=$AS$33,$AS$34,0)</f>
        <v>0</v>
      </c>
      <c r="AT43" s="393"/>
      <c r="AU43" s="392">
        <f>IF($AP$43=$AQ$33,$AQ$34,0)+IF($AP43=$AR$33,$AR$34,0)+IF($AP43=$AS$33,$AS$34,0)</f>
        <v>0</v>
      </c>
      <c r="AV43" s="392">
        <f>IF($AP$43=$AQ$33,$AQ$34,0)+IF($AP43=$AR$33,$AR$34,0)+IF($AP43=$AS$33,$AS$34,0)</f>
        <v>0</v>
      </c>
      <c r="AW43" s="393"/>
      <c r="AX43" s="392"/>
      <c r="AY43" s="392"/>
      <c r="AZ43" s="393"/>
      <c r="BA43" s="392"/>
      <c r="BB43" s="392"/>
      <c r="BF43" s="194" t="s">
        <v>149</v>
      </c>
      <c r="BG43" s="155"/>
    </row>
    <row r="44" spans="2:59">
      <c r="B44" s="325" t="s">
        <v>374</v>
      </c>
      <c r="C44" s="251">
        <f>IF($C$25=0,0,IF('Phase designation'!B19=0,SUMPRODUCT(C63:C66,D63:D66),(D44/MAX(1,D6))*C6))</f>
        <v>109</v>
      </c>
      <c r="D44" s="252">
        <f>IF($C$25=0,0,IF(AND(C6&gt;0,D6=0),ROUND(C6*C11*D38/$C$25,0),ROUND(D11*D38/$C$25,0)))</f>
        <v>507</v>
      </c>
      <c r="E44" s="252">
        <f>IF($C$25=0,0,ROUND(E6*E11*E38/$C$25,0))</f>
        <v>253</v>
      </c>
      <c r="F44" s="251">
        <f>IF($C$25=0,0,IF('Phase designation'!D19=0,SUMPRODUCT(F63:F66,G63:G66),(G44/MAX(1,G6))*F6))</f>
        <v>247</v>
      </c>
      <c r="G44" s="252">
        <f>IF($C$25=0,0,IF(AND(F6&gt;0,G6=0),ROUND(F6*F11*G38/$C$25,0),ROUND(G11*G38/$C$25,0)))</f>
        <v>1154</v>
      </c>
      <c r="H44" s="252">
        <f>IF($C$25=0,0,ROUND(H6*H11*H38/$C$25,0))</f>
        <v>385</v>
      </c>
      <c r="I44" s="251">
        <f>IF($C$25=0,0,IF('Phase designation'!F19=0,SUMPRODUCT(I63:I66,J63:J66),(J44/MAX(1,J6))*I6))</f>
        <v>54</v>
      </c>
      <c r="J44" s="252">
        <f>IF($C$25=0,0,IF(AND(I6&gt;0,J6=0),ROUND(I6*I11*J38/$C$25,0),ROUND(J11*J38/$C$25,0)))</f>
        <v>2590</v>
      </c>
      <c r="K44" s="252">
        <f>IF($C$25=0,0,ROUND(K6*K11*K38/$C$25,0))</f>
        <v>864</v>
      </c>
      <c r="L44" s="251">
        <f>IF($C$25=0,0,IF('Phase designation'!H19=0,SUMPRODUCT(L63:L66,M63:M66),(M44/MAX(1,M6))*L6))</f>
        <v>58</v>
      </c>
      <c r="M44" s="252">
        <f>IF($C$25=0,0,IF(AND(L6&gt;0,M6=0),ROUND(L6*L11*M38/$C$25,0),ROUND(M11*M38/$C$25,0)))</f>
        <v>2590</v>
      </c>
      <c r="N44" s="252">
        <f>IF($C$25=0,0,ROUND(N6*N11*N38/$C$25,0))</f>
        <v>864</v>
      </c>
      <c r="Q44" s="62" t="s">
        <v>108</v>
      </c>
      <c r="R44" s="70">
        <f t="shared" ref="R44:U45" si="14">MATCH(R29,$Q$35:$X$35,0)</f>
        <v>5</v>
      </c>
      <c r="S44" s="70">
        <f t="shared" si="14"/>
        <v>6</v>
      </c>
      <c r="T44" s="70">
        <f t="shared" si="14"/>
        <v>3</v>
      </c>
      <c r="U44" s="70">
        <f t="shared" si="14"/>
        <v>2</v>
      </c>
      <c r="AP44" s="392" t="s">
        <v>412</v>
      </c>
      <c r="AQ44" s="393"/>
      <c r="AR44" s="392"/>
      <c r="AS44" s="392"/>
      <c r="AT44" s="393">
        <f>IF($AP$44=$AQ$33,$AQ$34,0)+IF($AP44=$AR$33,$AR$34,0)+IF($AP44=$AS$33,$AS$34,0)</f>
        <v>85.4</v>
      </c>
      <c r="AU44" s="392">
        <f>IF($AP$44=$AQ$33,$AQ$34,0)+IF($AP44=$AR$33,$AR$34,0)+IF($AP44=$AS$33,$AS$34,0)</f>
        <v>85.4</v>
      </c>
      <c r="AV44" s="392">
        <f>IF($AP$44=$AQ$33,$AQ$34,0)+IF($AP44=$AR$33,$AR$34,0)+IF($AP44=$AS$33,$AS$34,0)</f>
        <v>85.4</v>
      </c>
      <c r="AW44" s="393"/>
      <c r="AX44" s="392"/>
      <c r="AY44" s="392"/>
      <c r="AZ44" s="393"/>
      <c r="BA44" s="392"/>
      <c r="BB44" s="392"/>
      <c r="BF44" s="194" t="s">
        <v>150</v>
      </c>
      <c r="BG44" s="59"/>
    </row>
    <row r="45" spans="2:59" hidden="1">
      <c r="B45" s="325" t="s">
        <v>139</v>
      </c>
      <c r="C45" s="251">
        <f t="shared" ref="C45:N45" si="15">IF(C43=0,0,ROUND((0.5*$C$25*(1-(C38)/$C$25)^2)/(1-(MIN(1,C43)*(C38))/$C$25),2))</f>
        <v>54.63</v>
      </c>
      <c r="D45" s="252">
        <f t="shared" si="15"/>
        <v>0</v>
      </c>
      <c r="E45" s="252">
        <f t="shared" si="15"/>
        <v>52.37</v>
      </c>
      <c r="F45" s="251">
        <f t="shared" si="15"/>
        <v>48.7</v>
      </c>
      <c r="G45" s="252">
        <f t="shared" si="15"/>
        <v>0</v>
      </c>
      <c r="H45" s="252">
        <f t="shared" si="15"/>
        <v>50.5</v>
      </c>
      <c r="I45" s="251">
        <f t="shared" si="15"/>
        <v>13.74</v>
      </c>
      <c r="J45" s="252">
        <f t="shared" si="15"/>
        <v>13.85</v>
      </c>
      <c r="K45" s="252">
        <f t="shared" si="15"/>
        <v>11.85</v>
      </c>
      <c r="L45" s="251">
        <f t="shared" si="15"/>
        <v>29</v>
      </c>
      <c r="M45" s="252">
        <f t="shared" si="15"/>
        <v>17.739999999999998</v>
      </c>
      <c r="N45" s="252">
        <f t="shared" si="15"/>
        <v>11.31</v>
      </c>
      <c r="O45" s="325"/>
      <c r="Q45" s="47" t="s">
        <v>109</v>
      </c>
      <c r="R45" s="70">
        <f t="shared" si="14"/>
        <v>5</v>
      </c>
      <c r="S45" s="70">
        <f t="shared" si="14"/>
        <v>8</v>
      </c>
      <c r="T45" s="70">
        <f t="shared" si="14"/>
        <v>1</v>
      </c>
      <c r="U45" s="70">
        <f t="shared" si="14"/>
        <v>4</v>
      </c>
      <c r="AP45" s="392" t="s">
        <v>413</v>
      </c>
      <c r="AQ45" s="393">
        <f>IF($AP$45=$AQ$33,$AQ$34,0)+IF($AP45=$AR$33,$AR$34,0)+IF($AP45=$AS$33,$AS$34,0)</f>
        <v>0</v>
      </c>
      <c r="AR45" s="392">
        <f>IF($AP$45=$AQ$33,$AQ$34,0)+IF($AP45=$AR$33,$AR$34,0)+IF($AP45=$AS$33,$AS$34,0)</f>
        <v>0</v>
      </c>
      <c r="AS45" s="392">
        <f>IF($AP$45=$AQ$33,$AQ$34,0)+IF($AP45=$AR$33,$AR$34,0)+IF($AP45=$AS$33,$AS$34,0)</f>
        <v>0</v>
      </c>
      <c r="AT45" s="393"/>
      <c r="AU45" s="392"/>
      <c r="AV45" s="392"/>
      <c r="AW45" s="393"/>
      <c r="AX45" s="392"/>
      <c r="AY45" s="392"/>
      <c r="AZ45" s="393"/>
      <c r="BA45" s="392"/>
      <c r="BB45" s="392"/>
      <c r="BF45" s="77"/>
      <c r="BG45" s="62"/>
    </row>
    <row r="46" spans="2:59" hidden="1">
      <c r="B46" s="325" t="s">
        <v>140</v>
      </c>
      <c r="C46" s="251">
        <f>IF(OR(C44=0,C11+C14=0),0,ROUND(225*((C43-1)+SQRT((C43-1)^2+(4*C43)/(C44*0.25))),2))</f>
        <v>6.3</v>
      </c>
      <c r="D46" s="252">
        <f>IF(OR(D44=0,D11=0),0,ROUND(225*((D43-1)+SQRT((D43-1)^2+(4*D43)/(D44*0.25))),2))</f>
        <v>0</v>
      </c>
      <c r="E46" s="252">
        <f>IF(OR(E44=0,E11=0),0,ROUND(225*((E43-1)+SQRT((E43-1)^2+(4*E43)/(E44*0.25))),2))</f>
        <v>1.83</v>
      </c>
      <c r="F46" s="251">
        <f>IF(OR(F44=0,F11+F14=0),0,ROUND(225*((F43-1)+SQRT((F43-1)^2+(4*F43)/(F44*0.25))),2))</f>
        <v>1148.58</v>
      </c>
      <c r="G46" s="252">
        <f>IF(OR(G44=0,G11=0),0,ROUND(225*((G43-1)+SQRT((G43-1)^2+(4*G43)/(G44*0.25))),2))</f>
        <v>0</v>
      </c>
      <c r="H46" s="252">
        <f>IF(OR(H44=0,H11=0),0,ROUND(225*((H43-1)+SQRT((H43-1)^2+(4*H43)/(H44*0.25))),2))</f>
        <v>15.13</v>
      </c>
      <c r="I46" s="251">
        <f>IF(OR(I44=0,I11+I14=0),0,ROUND(225*((I43-1)+SQRT((I43-1)^2+(4*I43)/(I44*0.25))),2))</f>
        <v>13.69</v>
      </c>
      <c r="J46" s="252">
        <f>IF(OR(J44=0,J11=0),0,ROUND(225*((J43-1)+SQRT((J43-1)^2+(4*J43)/(J44*0.25))),2))</f>
        <v>0.31</v>
      </c>
      <c r="K46" s="252">
        <f>IF(OR(K44=0,K11=0),0,ROUND(225*((K43-1)+SQRT((K43-1)^2+(4*K43)/(K44*0.25))),2))</f>
        <v>0.2</v>
      </c>
      <c r="L46" s="251">
        <f>IF(OR(L44=0,L11+L14=0),0,ROUND(225*((L43-1)+SQRT((L43-1)^2+(4*L43)/(L44*0.25))),2))</f>
        <v>648.66</v>
      </c>
      <c r="M46" s="252">
        <f>IF(OR(M44=0,M44=0),0,ROUND(225*((M43-1)+SQRT((M43-1)^2+(4*M43)/(M44*0.25))),2))</f>
        <v>1.04</v>
      </c>
      <c r="N46" s="252">
        <f>IF(OR(N44=0,N11=0),0,ROUND(225*((N43-1)+SQRT((N43-1)^2+(4*N43)/(N44*0.25))),2))</f>
        <v>0.03</v>
      </c>
      <c r="O46" s="325"/>
      <c r="R46" s="69"/>
      <c r="S46" s="69"/>
      <c r="T46" s="69"/>
      <c r="U46" s="69"/>
      <c r="Y46" s="531" t="s">
        <v>310</v>
      </c>
      <c r="Z46" s="531"/>
      <c r="AA46" s="531"/>
      <c r="AB46" s="531"/>
      <c r="AF46" s="78" t="s">
        <v>240</v>
      </c>
      <c r="AG46" s="78" t="s">
        <v>241</v>
      </c>
      <c r="AP46" s="392" t="s">
        <v>414</v>
      </c>
      <c r="AQ46" s="393">
        <f>IF($AP$46=$AQ$33,$AQ$34,0)+IF($AP46=$AR$33,$AR$34,0)+IF($AP46=$AS$33,$AS$34,0)</f>
        <v>7</v>
      </c>
      <c r="AR46" s="392"/>
      <c r="AS46" s="392"/>
      <c r="AT46" s="393">
        <f>IF($AP$46=$AQ$33,$AQ$34,0)+IF($AP46=$AR$33,$AR$34,0)+IF($AP46=$AS$33,$AS$34,0)</f>
        <v>7</v>
      </c>
      <c r="AU46" s="392"/>
      <c r="AV46" s="392"/>
      <c r="AW46" s="393"/>
      <c r="AX46" s="392"/>
      <c r="AY46" s="392"/>
      <c r="AZ46" s="393"/>
      <c r="BA46" s="392"/>
      <c r="BB46" s="392"/>
      <c r="BF46" s="77"/>
      <c r="BG46" s="62"/>
    </row>
    <row r="47" spans="2:59">
      <c r="B47" s="257" t="s">
        <v>141</v>
      </c>
      <c r="C47" s="406">
        <f>IF(C3=0,0,C45+C46)</f>
        <v>60.93</v>
      </c>
      <c r="D47" s="407">
        <f>IF(OR(D3=0,D6=0),0,D45+D46)</f>
        <v>0</v>
      </c>
      <c r="E47" s="407">
        <f>IF(E3=0,0,E45+E46)</f>
        <v>54.199999999999996</v>
      </c>
      <c r="F47" s="406">
        <f>IF(F3=0,0,F45+F46)</f>
        <v>1197.28</v>
      </c>
      <c r="G47" s="407">
        <f>IF(OR(G3=0,G6=0),0,G45+G46)</f>
        <v>0</v>
      </c>
      <c r="H47" s="407">
        <f>IF(H3=0,0,H45+H46)</f>
        <v>65.63</v>
      </c>
      <c r="I47" s="406">
        <f>IF(I3=0,0,I45+I46)</f>
        <v>27.43</v>
      </c>
      <c r="J47" s="407">
        <f>IF(OR(J3=0,J6=0),0,J45+J46)</f>
        <v>14.16</v>
      </c>
      <c r="K47" s="407">
        <f>IF(K3=0,0,K45+K46)</f>
        <v>12.049999999999999</v>
      </c>
      <c r="L47" s="406">
        <f>IF(L3=0,0,L45+L46)</f>
        <v>677.66</v>
      </c>
      <c r="M47" s="407">
        <f>IF(OR(M3=0,M6=0),0,M45+M46)</f>
        <v>18.779999999999998</v>
      </c>
      <c r="N47" s="407">
        <f>IF(N3=0,0,N45+N46)</f>
        <v>11.34</v>
      </c>
      <c r="Q47" s="62" t="s">
        <v>108</v>
      </c>
      <c r="R47" s="70">
        <f t="shared" ref="R47:U48" si="16">IF(R44&gt;0,MAX(Y47,INDEX($Q$35:$X$36,2,R44),0))</f>
        <v>0</v>
      </c>
      <c r="S47" s="70">
        <f t="shared" si="16"/>
        <v>53.6</v>
      </c>
      <c r="T47" s="70">
        <f t="shared" si="16"/>
        <v>92.4</v>
      </c>
      <c r="U47" s="70">
        <f t="shared" si="16"/>
        <v>31</v>
      </c>
      <c r="V47" s="71">
        <f>SUM(R47:U47)</f>
        <v>177</v>
      </c>
      <c r="X47" s="62" t="s">
        <v>108</v>
      </c>
      <c r="Y47" s="45">
        <f>Phasing_calc!D43</f>
        <v>0</v>
      </c>
      <c r="Z47" s="45">
        <f>Phasing_calc!E43</f>
        <v>35</v>
      </c>
      <c r="AA47" s="45">
        <f>Phasing_calc!F43</f>
        <v>9</v>
      </c>
      <c r="AB47" s="45">
        <f>Phasing_calc!G43</f>
        <v>31</v>
      </c>
      <c r="AC47" s="170" t="s">
        <v>240</v>
      </c>
      <c r="AD47" s="170" t="s">
        <v>241</v>
      </c>
      <c r="AE47" s="47"/>
      <c r="AF47" s="167">
        <f>Y47+Z47</f>
        <v>35</v>
      </c>
      <c r="AG47" s="167">
        <f>AA47+AB47</f>
        <v>40</v>
      </c>
      <c r="AH47" s="62" t="s">
        <v>108</v>
      </c>
      <c r="AI47" s="78">
        <f>IF(MIN(AF47,$AC$48)=0,0,ROUND(Y47*MAX(AF47,$AC$48)/MIN(AF47,$AC$48)*$C$25/$AE$48,0))</f>
        <v>0</v>
      </c>
      <c r="AJ47" s="78">
        <f>IF(MIN(AF47,$AC$48)=0,0,ROUND(Z47*MAX(AF47,$AC$48)/MIN(AF47,$AC$48)*$C$25/$AE$48,0))</f>
        <v>66</v>
      </c>
      <c r="AK47" s="78">
        <f>IF(MIN(AG47,$AD$48)=0,0,ROUND(AA47*MAX(AG47,$AD$48)/MIN(AG47,$AD$48)*$C$25/$AE$48,0))</f>
        <v>19</v>
      </c>
      <c r="AL47" s="78">
        <f>$C$25-SUM(AI47:AK47)</f>
        <v>65</v>
      </c>
      <c r="AM47" s="87"/>
      <c r="AN47" s="87"/>
      <c r="AO47" s="87"/>
      <c r="AP47" s="394" t="s">
        <v>415</v>
      </c>
      <c r="AQ47" s="395"/>
      <c r="AR47" s="394"/>
      <c r="AS47" s="394"/>
      <c r="AT47" s="395"/>
      <c r="AU47" s="394"/>
      <c r="AV47" s="394"/>
      <c r="AW47" s="395"/>
      <c r="AX47" s="394">
        <f>IF($AP$47=$AQ$35,$AQ$36,0)+IF($AP47=$AR$35,$AR$36,0)+IF($AP47=$AS$35,$AS$36,0)</f>
        <v>53.6</v>
      </c>
      <c r="AY47" s="394">
        <f>IF($AP$47=$AQ$35,$AQ$36,0)+IF($AP47=$AR$35,$AR$36,0)+IF($AP47=$AS$35,$AS$36,0)</f>
        <v>53.6</v>
      </c>
      <c r="AZ47" s="395"/>
      <c r="BA47" s="394">
        <f>IF($AP$47=$AQ$35,$AQ$36,0)+IF($AP47=$AR$35,$AR$36,0)+IF($AP47=$AS$35,$AS$36,0)</f>
        <v>53.6</v>
      </c>
      <c r="BB47" s="394">
        <f>IF($AP$47=$AQ$35,$AQ$36,0)+IF($AP47=$AR$35,$AR$36,0)+IF($AP47=$AS$35,$AS$36,0)</f>
        <v>53.6</v>
      </c>
    </row>
    <row r="48" spans="2:59">
      <c r="B48" s="325" t="s">
        <v>142</v>
      </c>
      <c r="C48" s="250" t="str">
        <f>IF(C47=0,"N/A",VLOOKUP(C47,'LOS table'!$B$3:$D$8,3))</f>
        <v>E</v>
      </c>
      <c r="D48" s="45" t="str">
        <f>IF(D47=0,"N/A",VLOOKUP(D47,'LOS table'!$B$3:$D$8,3))</f>
        <v>N/A</v>
      </c>
      <c r="E48" s="45" t="str">
        <f>IF(E47=0,"N/A",VLOOKUP(E47,'LOS table'!$B$3:$D$8,3))</f>
        <v>D</v>
      </c>
      <c r="F48" s="250" t="str">
        <f>IF(F47=0,"N/A",VLOOKUP(F47,'LOS table'!$B$3:$D$8,3))</f>
        <v>F</v>
      </c>
      <c r="G48" s="45" t="str">
        <f>IF(G47=0,"N/A",VLOOKUP(G47,'LOS table'!$B$3:$D$8,3))</f>
        <v>N/A</v>
      </c>
      <c r="H48" s="45" t="str">
        <f>IF(H47=0,"N/A",VLOOKUP(H47,'LOS table'!$B$3:$D$8,3))</f>
        <v>E</v>
      </c>
      <c r="I48" s="250" t="str">
        <f>IF(I47=0,"N/A",VLOOKUP(I47,'LOS table'!$B$3:$D$8,3))</f>
        <v>C</v>
      </c>
      <c r="J48" s="45" t="str">
        <f>IF(J47=0,"N/A",VLOOKUP(J47,'LOS table'!$B$3:$D$8,3))</f>
        <v>B</v>
      </c>
      <c r="K48" s="45" t="str">
        <f>IF(K47=0,"N/A",VLOOKUP(K47,'LOS table'!$B$3:$D$8,3))</f>
        <v>B</v>
      </c>
      <c r="L48" s="250" t="str">
        <f>IF(L47=0,"N/A",VLOOKUP(L47,'LOS table'!$B$3:$D$8,3))</f>
        <v>F</v>
      </c>
      <c r="M48" s="45" t="str">
        <f>IF(M47=0,"N/A",VLOOKUP(M47,'LOS table'!$B$3:$D$8,3))</f>
        <v>B</v>
      </c>
      <c r="N48" s="45" t="str">
        <f>IF(N47=0,"N/A",VLOOKUP(N47,'LOS table'!$B$3:$D$8,3))</f>
        <v>B</v>
      </c>
      <c r="Q48" s="47" t="s">
        <v>109</v>
      </c>
      <c r="R48" s="211">
        <f t="shared" si="16"/>
        <v>0</v>
      </c>
      <c r="S48" s="70">
        <f t="shared" si="16"/>
        <v>53.6</v>
      </c>
      <c r="T48" s="70">
        <f t="shared" si="16"/>
        <v>9</v>
      </c>
      <c r="U48" s="70">
        <f t="shared" si="16"/>
        <v>85.4</v>
      </c>
      <c r="V48" s="71">
        <f>SUM(R48:U48)</f>
        <v>148</v>
      </c>
      <c r="X48" s="47" t="s">
        <v>109</v>
      </c>
      <c r="Y48" s="45">
        <f>Phasing_calc!H43</f>
        <v>0</v>
      </c>
      <c r="Z48" s="45">
        <f>Phasing_calc!I43</f>
        <v>35</v>
      </c>
      <c r="AA48" s="45">
        <f>Phasing_calc!J43</f>
        <v>9</v>
      </c>
      <c r="AB48" s="45">
        <f>Phasing_calc!K43</f>
        <v>35</v>
      </c>
      <c r="AC48" s="170">
        <f>MAX(Y47+Z47,Y48+Z48)</f>
        <v>35</v>
      </c>
      <c r="AD48" s="170">
        <f>MAX(AA47+AB47,AA48+AB48)</f>
        <v>44</v>
      </c>
      <c r="AE48" s="219">
        <f>SUM(AC48:AD48)</f>
        <v>79</v>
      </c>
      <c r="AF48" s="167">
        <f>Y48+Z48</f>
        <v>35</v>
      </c>
      <c r="AG48" s="167">
        <f>AA48+AB48</f>
        <v>44</v>
      </c>
      <c r="AH48" s="47" t="s">
        <v>109</v>
      </c>
      <c r="AI48" s="78">
        <f>IF(MIN(AF48,$AC$48)=0,0,ROUND(Y48*MAX(AF48,$AC$48)/MIN(AF48,$AC$48)*$C$25/$AE$48,0))</f>
        <v>0</v>
      </c>
      <c r="AJ48" s="78">
        <f>IF(MIN(AF48,$AC$48)=0,0,ROUND(Z48*MAX(AF48,$AC$48)/MIN(AF48,$AC$48)*$C$25/$AE$48,0))</f>
        <v>66</v>
      </c>
      <c r="AK48" s="78">
        <f>IF(MIN(AG48,$AD$48)=0,0,ROUND(AA48*MAX(AG48,$AD$48)/MIN(AG48,$AD$48)*$C$25/$AE$48,0))</f>
        <v>17</v>
      </c>
      <c r="AL48" s="78">
        <f>$C$25-SUM(AI48:AK48)</f>
        <v>67</v>
      </c>
      <c r="AM48" s="87"/>
      <c r="AN48" s="87"/>
      <c r="AO48" s="87"/>
      <c r="AP48" s="394" t="s">
        <v>416</v>
      </c>
      <c r="AQ48" s="395"/>
      <c r="AR48" s="394"/>
      <c r="AS48" s="394"/>
      <c r="AT48" s="395"/>
      <c r="AU48" s="394"/>
      <c r="AV48" s="394"/>
      <c r="AW48" s="395"/>
      <c r="AX48" s="394"/>
      <c r="AY48" s="394"/>
      <c r="AZ48" s="395">
        <f>IF($AP$48=$AQ$35,$AQ$36,0)+IF($AP48=$AR$35,$AR$36,0)+IF($AP48=$AS$35,$AS$36,0)</f>
        <v>0</v>
      </c>
      <c r="BA48" s="394">
        <f>IF($AP$48=$AQ$35,$AQ$36,0)+IF($AP48=$AR$35,$AR$36,0)+IF($AP48=$AS$35,$AS$36,0)</f>
        <v>0</v>
      </c>
      <c r="BB48" s="394">
        <f>IF($AP$48=$AQ$35,$AQ$36,0)+IF($AP48=$AR$35,$AR$36,0)+IF($AP48=$AS$35,$AS$36,0)</f>
        <v>0</v>
      </c>
    </row>
    <row r="49" spans="2:54" s="320" customFormat="1">
      <c r="B49" s="257" t="s">
        <v>434</v>
      </c>
      <c r="C49" s="529">
        <f>IF(SUM(C3:E3)=0,0,SUMPRODUCT(C3:E3,C47:E47)/SUM(C3:E3))</f>
        <v>55.707519999999995</v>
      </c>
      <c r="D49" s="530"/>
      <c r="E49" s="530"/>
      <c r="F49" s="529">
        <f>IF(SUM(F3:H3)=0,0,SUMPRODUCT(F3:H3,F47:H47)/SUM(F3:H3))</f>
        <v>731.79519061583574</v>
      </c>
      <c r="G49" s="530"/>
      <c r="H49" s="530"/>
      <c r="I49" s="529">
        <f>IF(SUM(I3:K3)=0,0,SUMPRODUCT(I3:K3,I47:K47)/SUM(I3:K3))</f>
        <v>14.04986577181208</v>
      </c>
      <c r="J49" s="530"/>
      <c r="K49" s="530"/>
      <c r="L49" s="529">
        <f>IF(SUM(L3:N3)=0,0,SUMPRODUCT(L3:N3,L47:N47)/SUM(L3:N3))</f>
        <v>70.743033779477372</v>
      </c>
      <c r="M49" s="530"/>
      <c r="N49" s="530"/>
      <c r="O49" s="253"/>
      <c r="P49" s="325"/>
      <c r="Q49" s="47"/>
      <c r="R49" s="323"/>
      <c r="S49" s="323"/>
      <c r="T49" s="323"/>
      <c r="U49" s="323"/>
      <c r="V49" s="325"/>
      <c r="X49" s="47"/>
      <c r="Y49" s="45"/>
      <c r="Z49" s="45"/>
      <c r="AA49" s="45"/>
      <c r="AB49" s="45"/>
      <c r="AC49" s="252"/>
      <c r="AD49" s="252"/>
      <c r="AE49" s="252"/>
      <c r="AF49" s="252"/>
      <c r="AG49" s="252"/>
      <c r="AH49" s="47"/>
      <c r="AI49" s="252"/>
      <c r="AJ49" s="252"/>
      <c r="AK49" s="252"/>
      <c r="AL49" s="252"/>
      <c r="AM49" s="87"/>
      <c r="AN49" s="87"/>
      <c r="AO49" s="87"/>
      <c r="AP49" s="394" t="s">
        <v>417</v>
      </c>
      <c r="AQ49" s="395"/>
      <c r="AR49" s="394"/>
      <c r="AS49" s="394"/>
      <c r="AT49" s="395"/>
      <c r="AU49" s="394"/>
      <c r="AV49" s="394"/>
      <c r="AW49" s="395">
        <f>IF($AP$49=$AQ$35,$AQ$36,0)+IF($AP49=$AR$35,$AR$36,0)+IF($AP49=$AS$35,$AS$36,0)</f>
        <v>0</v>
      </c>
      <c r="AX49" s="394">
        <f>IF($AP$49=$AQ$35,$AQ$36,0)+IF($AP49=$AR$35,$AR$36,0)+IF($AP49=$AS$35,$AS$36,0)</f>
        <v>0</v>
      </c>
      <c r="AY49" s="394">
        <f>IF($AP$49=$AQ$35,$AQ$36,0)+IF($AP49=$AR$35,$AR$36,0)+IF($AP49=$AS$35,$AS$36,0)</f>
        <v>0</v>
      </c>
      <c r="AZ49" s="395"/>
      <c r="BA49" s="394"/>
      <c r="BB49" s="394"/>
    </row>
    <row r="50" spans="2:54" s="320" customFormat="1">
      <c r="B50" s="325" t="s">
        <v>435</v>
      </c>
      <c r="C50" s="527" t="str">
        <f>IF(C49=0,"N/A",VLOOKUP(C49,'LOS table'!$B$3:$D$8,3))</f>
        <v>E</v>
      </c>
      <c r="D50" s="528"/>
      <c r="E50" s="528"/>
      <c r="F50" s="527" t="str">
        <f>IF(F49=0,"N/A",VLOOKUP(F49,'LOS table'!$B$3:$D$8,3))</f>
        <v>F</v>
      </c>
      <c r="G50" s="528"/>
      <c r="H50" s="528"/>
      <c r="I50" s="527" t="str">
        <f>IF(I49=0,"N/A",VLOOKUP(I49,'LOS table'!$B$3:$D$8,3))</f>
        <v>B</v>
      </c>
      <c r="J50" s="528"/>
      <c r="K50" s="528"/>
      <c r="L50" s="527" t="str">
        <f>IF(L49=0,"N/A",VLOOKUP(L49,'LOS table'!$B$3:$D$8,3))</f>
        <v>E</v>
      </c>
      <c r="M50" s="528"/>
      <c r="N50" s="528"/>
      <c r="O50" s="324"/>
      <c r="P50" s="325"/>
      <c r="Q50" s="47"/>
      <c r="R50" s="323"/>
      <c r="S50" s="323"/>
      <c r="T50" s="323"/>
      <c r="U50" s="323"/>
      <c r="V50" s="325"/>
      <c r="X50" s="47"/>
      <c r="Y50" s="45"/>
      <c r="Z50" s="45"/>
      <c r="AA50" s="45"/>
      <c r="AB50" s="45"/>
      <c r="AC50" s="252"/>
      <c r="AD50" s="252"/>
      <c r="AE50" s="252"/>
      <c r="AF50" s="252"/>
      <c r="AG50" s="252"/>
      <c r="AH50" s="47"/>
      <c r="AI50" s="252"/>
      <c r="AJ50" s="252"/>
      <c r="AK50" s="252"/>
      <c r="AL50" s="252"/>
      <c r="AM50" s="87"/>
      <c r="AN50" s="87"/>
      <c r="AO50" s="87"/>
      <c r="AP50" s="394" t="s">
        <v>418</v>
      </c>
      <c r="AQ50" s="395"/>
      <c r="AR50" s="394"/>
      <c r="AS50" s="394"/>
      <c r="AT50" s="395"/>
      <c r="AU50" s="394"/>
      <c r="AV50" s="394"/>
      <c r="AW50" s="395">
        <f>IF($AP$50=$AQ$35,$AQ$36,0)+IF($AP50=$AR$35,$AR$36,0)+IF($AP50=$AS$35,$AS$36,0)</f>
        <v>0</v>
      </c>
      <c r="AX50" s="394"/>
      <c r="AY50" s="394"/>
      <c r="AZ50" s="395">
        <f>IF($AP$50=$AQ$35,$AQ$36,0)+IF($AP50=$AR$35,$AR$36,0)+IF($AP50=$AS$35,$AS$36,0)</f>
        <v>0</v>
      </c>
      <c r="BA50" s="394"/>
      <c r="BB50" s="394"/>
    </row>
    <row r="51" spans="2:54" s="471" customFormat="1" hidden="1">
      <c r="B51" s="474" t="s">
        <v>532</v>
      </c>
      <c r="C51" s="477">
        <f>C40*$C$25*C42</f>
        <v>0</v>
      </c>
      <c r="D51" s="477">
        <f t="shared" ref="D51:N51" si="17">D40*$C$25*D42</f>
        <v>0</v>
      </c>
      <c r="E51" s="477">
        <f t="shared" si="17"/>
        <v>0</v>
      </c>
      <c r="F51" s="477">
        <f t="shared" si="17"/>
        <v>93.00426136363636</v>
      </c>
      <c r="G51" s="477">
        <f t="shared" si="17"/>
        <v>0</v>
      </c>
      <c r="H51" s="477">
        <f t="shared" si="17"/>
        <v>0</v>
      </c>
      <c r="I51" s="477">
        <f t="shared" si="17"/>
        <v>0</v>
      </c>
      <c r="J51" s="477">
        <f t="shared" si="17"/>
        <v>0</v>
      </c>
      <c r="K51" s="477">
        <f t="shared" si="17"/>
        <v>0</v>
      </c>
      <c r="L51" s="477">
        <f t="shared" si="17"/>
        <v>0</v>
      </c>
      <c r="M51" s="477">
        <f t="shared" si="17"/>
        <v>54.913568553161262</v>
      </c>
      <c r="N51" s="477">
        <f t="shared" si="17"/>
        <v>0</v>
      </c>
      <c r="O51" s="473"/>
      <c r="P51" s="474"/>
      <c r="Q51" s="47"/>
      <c r="R51" s="472"/>
      <c r="S51" s="472"/>
      <c r="T51" s="472"/>
      <c r="U51" s="472"/>
      <c r="V51" s="474"/>
      <c r="X51" s="47"/>
      <c r="Y51" s="475"/>
      <c r="Z51" s="475"/>
      <c r="AA51" s="475"/>
      <c r="AB51" s="475"/>
      <c r="AC51" s="476"/>
      <c r="AD51" s="476"/>
      <c r="AE51" s="476"/>
      <c r="AF51" s="476"/>
      <c r="AG51" s="476"/>
      <c r="AH51" s="47"/>
      <c r="AI51" s="476"/>
      <c r="AJ51" s="476"/>
      <c r="AK51" s="476"/>
      <c r="AL51" s="476"/>
      <c r="AM51" s="87"/>
      <c r="AN51" s="87"/>
      <c r="AO51" s="87"/>
      <c r="AP51" s="394"/>
      <c r="AQ51" s="395"/>
      <c r="AR51" s="394"/>
      <c r="AS51" s="394"/>
      <c r="AT51" s="395"/>
      <c r="AU51" s="394"/>
      <c r="AV51" s="394"/>
      <c r="AW51" s="395"/>
      <c r="AX51" s="394"/>
      <c r="AY51" s="394"/>
      <c r="AZ51" s="395"/>
      <c r="BA51" s="394"/>
      <c r="BB51" s="394"/>
    </row>
    <row r="52" spans="2:54" s="471" customFormat="1" hidden="1">
      <c r="B52" s="474" t="s">
        <v>533</v>
      </c>
      <c r="C52" s="477">
        <f>SUM(C51:N51)+C23</f>
        <v>159.91782991679761</v>
      </c>
      <c r="D52" s="475"/>
      <c r="E52" s="475"/>
      <c r="F52" s="475"/>
      <c r="G52" s="475"/>
      <c r="H52" s="475"/>
      <c r="I52" s="475"/>
      <c r="J52" s="475"/>
      <c r="K52" s="475"/>
      <c r="L52" s="475"/>
      <c r="M52" s="475"/>
      <c r="N52" s="475"/>
      <c r="O52" s="473"/>
      <c r="P52" s="474"/>
      <c r="Q52" s="47"/>
      <c r="R52" s="472"/>
      <c r="S52" s="472"/>
      <c r="T52" s="472"/>
      <c r="U52" s="472"/>
      <c r="V52" s="474"/>
      <c r="X52" s="47"/>
      <c r="Y52" s="475"/>
      <c r="Z52" s="475"/>
      <c r="AA52" s="475"/>
      <c r="AB52" s="475"/>
      <c r="AC52" s="476"/>
      <c r="AD52" s="476"/>
      <c r="AE52" s="476"/>
      <c r="AF52" s="476"/>
      <c r="AG52" s="476"/>
      <c r="AH52" s="47"/>
      <c r="AI52" s="476"/>
      <c r="AJ52" s="476"/>
      <c r="AK52" s="476"/>
      <c r="AL52" s="476"/>
      <c r="AM52" s="87"/>
      <c r="AN52" s="87"/>
      <c r="AO52" s="87"/>
      <c r="AP52" s="394"/>
      <c r="AQ52" s="395"/>
      <c r="AR52" s="394"/>
      <c r="AS52" s="394"/>
      <c r="AT52" s="395"/>
      <c r="AU52" s="394"/>
      <c r="AV52" s="394"/>
      <c r="AW52" s="395"/>
      <c r="AX52" s="394"/>
      <c r="AY52" s="394"/>
      <c r="AZ52" s="395"/>
      <c r="BA52" s="394"/>
      <c r="BB52" s="394"/>
    </row>
    <row r="53" spans="2:54" s="471" customFormat="1" hidden="1">
      <c r="B53" s="474"/>
      <c r="C53" s="475"/>
      <c r="D53" s="475"/>
      <c r="E53" s="475"/>
      <c r="F53" s="475"/>
      <c r="G53" s="475"/>
      <c r="H53" s="475"/>
      <c r="I53" s="475"/>
      <c r="J53" s="475"/>
      <c r="K53" s="475"/>
      <c r="L53" s="475"/>
      <c r="M53" s="475"/>
      <c r="N53" s="475"/>
      <c r="O53" s="473"/>
      <c r="P53" s="474"/>
      <c r="Q53" s="47"/>
      <c r="R53" s="472"/>
      <c r="S53" s="472"/>
      <c r="T53" s="472"/>
      <c r="U53" s="472"/>
      <c r="V53" s="474"/>
      <c r="X53" s="47"/>
      <c r="Y53" s="475"/>
      <c r="Z53" s="475"/>
      <c r="AA53" s="475"/>
      <c r="AB53" s="475"/>
      <c r="AC53" s="476"/>
      <c r="AD53" s="476"/>
      <c r="AE53" s="476"/>
      <c r="AF53" s="476"/>
      <c r="AG53" s="476"/>
      <c r="AH53" s="47"/>
      <c r="AI53" s="476"/>
      <c r="AJ53" s="476"/>
      <c r="AK53" s="476"/>
      <c r="AL53" s="476"/>
      <c r="AM53" s="87"/>
      <c r="AN53" s="87"/>
      <c r="AO53" s="87"/>
      <c r="AP53" s="394"/>
      <c r="AQ53" s="395"/>
      <c r="AR53" s="394"/>
      <c r="AS53" s="394"/>
      <c r="AT53" s="395"/>
      <c r="AU53" s="394"/>
      <c r="AV53" s="394"/>
      <c r="AW53" s="395"/>
      <c r="AX53" s="394"/>
      <c r="AY53" s="394"/>
      <c r="AZ53" s="395"/>
      <c r="BA53" s="394"/>
      <c r="BB53" s="394"/>
    </row>
    <row r="54" spans="2:54" s="320" customFormat="1">
      <c r="B54" s="325"/>
      <c r="C54" s="87"/>
      <c r="D54" s="87"/>
      <c r="E54" s="87"/>
      <c r="F54" s="87"/>
      <c r="G54" s="87"/>
      <c r="H54" s="87"/>
      <c r="I54" s="87"/>
      <c r="J54" s="87"/>
      <c r="K54" s="87"/>
      <c r="L54" s="87"/>
      <c r="M54" s="87"/>
      <c r="N54" s="87"/>
      <c r="O54" s="324"/>
      <c r="P54" s="325"/>
      <c r="Q54" s="47"/>
      <c r="R54" s="323"/>
      <c r="S54" s="323"/>
      <c r="T54" s="323"/>
      <c r="U54" s="323"/>
      <c r="V54" s="325"/>
      <c r="X54" s="47"/>
      <c r="Y54" s="45"/>
      <c r="Z54" s="45"/>
      <c r="AA54" s="45"/>
      <c r="AB54" s="45"/>
      <c r="AC54" s="252"/>
      <c r="AD54" s="252"/>
      <c r="AE54" s="252"/>
      <c r="AF54" s="252"/>
      <c r="AG54" s="252"/>
      <c r="AH54" s="47"/>
      <c r="AI54" s="252"/>
      <c r="AJ54" s="252"/>
      <c r="AK54" s="252"/>
      <c r="AL54" s="252"/>
      <c r="AM54" s="87"/>
      <c r="AN54" s="87"/>
      <c r="AO54" s="87"/>
      <c r="AP54" s="396"/>
      <c r="AQ54" s="397">
        <f>SUM(AQ43:AQ50)</f>
        <v>7</v>
      </c>
      <c r="AR54" s="398">
        <f t="shared" ref="AR54:BB54" si="18">SUM(AR43:AR50)</f>
        <v>0</v>
      </c>
      <c r="AS54" s="398">
        <f t="shared" si="18"/>
        <v>0</v>
      </c>
      <c r="AT54" s="397">
        <f t="shared" si="18"/>
        <v>92.4</v>
      </c>
      <c r="AU54" s="398">
        <f t="shared" si="18"/>
        <v>85.4</v>
      </c>
      <c r="AV54" s="398">
        <f t="shared" si="18"/>
        <v>85.4</v>
      </c>
      <c r="AW54" s="397">
        <f t="shared" si="18"/>
        <v>0</v>
      </c>
      <c r="AX54" s="398">
        <f t="shared" si="18"/>
        <v>53.6</v>
      </c>
      <c r="AY54" s="398">
        <f t="shared" si="18"/>
        <v>53.6</v>
      </c>
      <c r="AZ54" s="397">
        <f t="shared" si="18"/>
        <v>0</v>
      </c>
      <c r="BA54" s="398">
        <f t="shared" si="18"/>
        <v>53.6</v>
      </c>
      <c r="BB54" s="398">
        <f t="shared" si="18"/>
        <v>53.6</v>
      </c>
    </row>
    <row r="55" spans="2:54" s="320" customFormat="1">
      <c r="B55" s="400" t="s">
        <v>436</v>
      </c>
      <c r="C55" s="518">
        <f>IF($C$25=0,"CHECK INPUT DATA!",IF(OR(SUM(C9:H9)=0,SUM(I9:N9)=0),0,ROUND(SUMPRODUCT(C9:N9,C47:N47)/O9,2)))</f>
        <v>312.76</v>
      </c>
      <c r="D55" s="518"/>
      <c r="E55" s="390"/>
      <c r="F55" s="418" t="s">
        <v>489</v>
      </c>
      <c r="G55" s="425">
        <f>C52/C25</f>
        <v>1.066118866111984</v>
      </c>
      <c r="H55" s="87"/>
      <c r="M55" s="87"/>
      <c r="N55" s="87"/>
      <c r="O55" s="324"/>
      <c r="P55" s="325"/>
      <c r="Q55" s="47"/>
      <c r="R55" s="367">
        <v>0</v>
      </c>
      <c r="S55" s="367">
        <v>0.85</v>
      </c>
      <c r="T55" s="367" t="s">
        <v>444</v>
      </c>
      <c r="U55" s="323"/>
      <c r="V55" s="325"/>
      <c r="X55" s="47"/>
      <c r="Y55" s="45"/>
      <c r="Z55" s="45"/>
      <c r="AA55" s="45"/>
      <c r="AB55" s="45"/>
      <c r="AC55" s="252"/>
      <c r="AD55" s="252"/>
      <c r="AE55" s="252"/>
      <c r="AF55" s="252"/>
      <c r="AG55" s="252"/>
      <c r="AH55" s="47"/>
      <c r="AI55" s="252"/>
      <c r="AJ55" s="252"/>
      <c r="AK55" s="252"/>
      <c r="AL55" s="252"/>
      <c r="AM55" s="87"/>
      <c r="AN55" s="87"/>
      <c r="AO55" s="87"/>
      <c r="AP55" s="3"/>
      <c r="AQ55" s="3"/>
      <c r="AR55" s="3"/>
      <c r="AS55" s="3"/>
      <c r="AT55" s="3"/>
      <c r="AU55" s="3"/>
      <c r="AV55" s="3"/>
      <c r="AW55" s="3"/>
      <c r="AX55" s="3"/>
      <c r="AY55" s="3"/>
      <c r="AZ55" s="3"/>
      <c r="BA55" s="3"/>
      <c r="BB55" s="3"/>
    </row>
    <row r="56" spans="2:54" s="320" customFormat="1">
      <c r="B56" s="161" t="s">
        <v>437</v>
      </c>
      <c r="C56" s="514" t="str">
        <f>IF($C$25=0,"CHECK INPUT DATA",IF(C55=0,"N/A",VLOOKUP(C55,'LOS table'!$B$3:$D$8,3)))</f>
        <v>F</v>
      </c>
      <c r="D56" s="514"/>
      <c r="E56" s="87"/>
      <c r="F56" s="420" t="s">
        <v>490</v>
      </c>
      <c r="G56" s="416" t="str">
        <f>VLOOKUP(G55,C113:E120,3)</f>
        <v>G</v>
      </c>
      <c r="H56" s="87"/>
      <c r="I56" s="87"/>
      <c r="J56" s="87"/>
      <c r="K56" s="87"/>
      <c r="L56" s="87"/>
      <c r="M56" s="87"/>
      <c r="N56" s="87"/>
      <c r="O56" s="324"/>
      <c r="P56" s="325"/>
      <c r="Q56" s="47"/>
      <c r="R56" s="367">
        <v>0.85</v>
      </c>
      <c r="S56" s="367">
        <v>0.95</v>
      </c>
      <c r="T56" s="367" t="s">
        <v>445</v>
      </c>
      <c r="U56" s="323"/>
      <c r="V56" s="325"/>
      <c r="X56" s="47"/>
      <c r="Y56" s="45"/>
      <c r="Z56" s="45"/>
      <c r="AA56" s="45"/>
      <c r="AB56" s="45"/>
      <c r="AC56" s="252"/>
      <c r="AD56" s="252"/>
      <c r="AE56" s="252"/>
      <c r="AF56" s="252"/>
      <c r="AG56" s="252"/>
      <c r="AH56" s="47"/>
      <c r="AI56" s="252"/>
      <c r="AJ56" s="252"/>
      <c r="AK56" s="252"/>
      <c r="AL56" s="252"/>
      <c r="AM56" s="87"/>
      <c r="AN56" s="87"/>
      <c r="AO56" s="87"/>
      <c r="AP56" s="69"/>
      <c r="AQ56" s="69"/>
      <c r="AR56" s="69"/>
      <c r="AS56" s="69"/>
      <c r="AT56" s="69"/>
      <c r="AU56" s="69"/>
      <c r="AV56" s="69"/>
      <c r="AW56" s="69"/>
      <c r="AX56" s="69"/>
      <c r="AY56" s="69"/>
      <c r="AZ56" s="69"/>
      <c r="BA56" s="69"/>
      <c r="BB56" s="69"/>
    </row>
    <row r="57" spans="2:54" s="320" customFormat="1">
      <c r="B57" s="400" t="s">
        <v>438</v>
      </c>
      <c r="C57" s="519">
        <f>IF($C$25=0,"CHECK INPUT DATA",ROUND(O17/(1700*O4*'Input sheet'!Q6*(1-C23/C25)),2))</f>
        <v>0.92</v>
      </c>
      <c r="D57" s="519"/>
      <c r="E57" s="87"/>
      <c r="F57" s="87"/>
      <c r="G57" s="87"/>
      <c r="H57" s="87"/>
      <c r="I57" s="87"/>
      <c r="J57" s="87"/>
      <c r="K57" s="87"/>
      <c r="L57" s="87"/>
      <c r="M57" s="87"/>
      <c r="N57" s="87"/>
      <c r="O57" s="324"/>
      <c r="P57" s="325"/>
      <c r="Q57" s="47"/>
      <c r="R57" s="367">
        <v>0.95</v>
      </c>
      <c r="S57" s="367">
        <v>1</v>
      </c>
      <c r="T57" s="367" t="s">
        <v>446</v>
      </c>
      <c r="U57" s="323"/>
      <c r="V57" s="325"/>
      <c r="X57" s="47"/>
      <c r="Y57" s="45"/>
      <c r="Z57" s="45"/>
      <c r="AA57" s="45"/>
      <c r="AB57" s="45"/>
      <c r="AC57" s="252"/>
      <c r="AD57" s="252"/>
      <c r="AE57" s="252"/>
      <c r="AF57" s="252"/>
      <c r="AG57" s="252"/>
      <c r="AH57" s="47"/>
      <c r="AI57" s="252"/>
      <c r="AJ57" s="252"/>
      <c r="AK57" s="252"/>
      <c r="AL57" s="252"/>
      <c r="AM57" s="87"/>
      <c r="AN57" s="87"/>
      <c r="AO57" s="87"/>
      <c r="AP57" s="87"/>
      <c r="AQ57" s="325"/>
      <c r="AR57" s="47"/>
      <c r="AS57" s="87"/>
      <c r="AT57" s="87"/>
      <c r="AU57" s="87"/>
      <c r="AV57" s="87"/>
      <c r="AX57" s="62"/>
    </row>
    <row r="58" spans="2:54" s="320" customFormat="1">
      <c r="B58" s="161" t="s">
        <v>443</v>
      </c>
      <c r="C58" s="514" t="str">
        <f>IF($C$25=0,"CHECK INPUT DATA",VLOOKUP(C57,R55:T58,3))</f>
        <v>Near Capacity</v>
      </c>
      <c r="D58" s="514"/>
      <c r="E58" s="87"/>
      <c r="F58" s="87"/>
      <c r="G58" s="87"/>
      <c r="H58" s="87"/>
      <c r="I58" s="87"/>
      <c r="J58" s="87"/>
      <c r="K58" s="87"/>
      <c r="L58" s="87"/>
      <c r="M58" s="87"/>
      <c r="N58" s="87"/>
      <c r="O58" s="324"/>
      <c r="P58" s="325"/>
      <c r="Q58" s="47"/>
      <c r="R58" s="367">
        <v>1</v>
      </c>
      <c r="S58" s="367">
        <v>100</v>
      </c>
      <c r="T58" s="367" t="s">
        <v>447</v>
      </c>
      <c r="U58" s="323"/>
      <c r="V58" s="325"/>
      <c r="X58" s="47"/>
      <c r="Y58" s="45"/>
      <c r="Z58" s="45"/>
      <c r="AA58" s="45"/>
      <c r="AB58" s="45"/>
      <c r="AC58" s="252"/>
      <c r="AD58" s="252"/>
      <c r="AE58" s="252"/>
      <c r="AF58" s="252"/>
      <c r="AG58" s="252"/>
      <c r="AH58" s="47"/>
      <c r="AI58" s="252"/>
      <c r="AJ58" s="252"/>
      <c r="AK58" s="252"/>
      <c r="AL58" s="252"/>
      <c r="AM58" s="87"/>
      <c r="AN58" s="87"/>
      <c r="AO58" s="87"/>
      <c r="AP58" s="87"/>
      <c r="AQ58" s="325"/>
      <c r="AR58" s="47"/>
      <c r="AS58" s="87"/>
      <c r="AT58" s="87"/>
      <c r="AU58" s="87"/>
      <c r="AV58" s="87"/>
      <c r="AX58" s="62"/>
    </row>
    <row r="59" spans="2:54" s="320" customFormat="1">
      <c r="B59" s="325"/>
      <c r="C59" s="87"/>
      <c r="D59" s="87"/>
      <c r="E59" s="87"/>
      <c r="F59" s="87"/>
      <c r="G59" s="87"/>
      <c r="H59" s="87"/>
      <c r="I59" s="87"/>
      <c r="J59" s="87"/>
      <c r="K59" s="87"/>
      <c r="L59" s="87"/>
      <c r="M59" s="87"/>
      <c r="N59" s="87"/>
      <c r="O59" s="324"/>
      <c r="P59" s="325"/>
      <c r="Q59" s="47"/>
      <c r="R59" s="323"/>
      <c r="S59" s="323"/>
      <c r="T59" s="323"/>
      <c r="U59" s="323"/>
      <c r="V59" s="325"/>
      <c r="X59" s="47"/>
      <c r="Y59" s="45"/>
      <c r="Z59" s="45"/>
      <c r="AA59" s="45"/>
      <c r="AB59" s="45"/>
      <c r="AC59" s="252"/>
      <c r="AD59" s="252"/>
      <c r="AE59" s="252"/>
      <c r="AF59" s="252"/>
      <c r="AG59" s="252"/>
      <c r="AH59" s="47"/>
      <c r="AI59" s="252"/>
      <c r="AJ59" s="252"/>
      <c r="AK59" s="252"/>
      <c r="AL59" s="252"/>
      <c r="AM59" s="87"/>
      <c r="AN59" s="87"/>
      <c r="AO59" s="87"/>
      <c r="AP59" s="87"/>
      <c r="AQ59" s="325"/>
      <c r="AR59" s="47"/>
      <c r="AS59" s="87"/>
      <c r="AT59" s="87"/>
      <c r="AU59" s="87"/>
      <c r="AV59" s="87"/>
      <c r="AX59" s="62"/>
    </row>
    <row r="60" spans="2:54" hidden="1">
      <c r="B60" s="247" t="s">
        <v>372</v>
      </c>
      <c r="C60" s="3">
        <f>ROUND(SUMPRODUCT(C72:C74,D72:D74),0)</f>
        <v>1127</v>
      </c>
      <c r="D60" s="85">
        <f>IF($C$25=0,0,IF(D44=0,0,D11))</f>
        <v>2815</v>
      </c>
      <c r="E60" s="247">
        <f>IF($C$25=0,0,IF(AND(E6=0,E3&gt;0),ROUND(0.25*D60,0),E11))</f>
        <v>1408</v>
      </c>
      <c r="F60" s="409">
        <f>ROUND(SUMPRODUCT(F72:F74,G72:G74),0)</f>
        <v>1477</v>
      </c>
      <c r="G60" s="247">
        <f>IF($C$25=0,0,IF(G44=0,0,G11))</f>
        <v>4223</v>
      </c>
      <c r="H60" s="247">
        <f>IF($C$25=0,0,IF(AND(H6=0,H3&gt;0),ROUND(0.25*G60,0),H11))</f>
        <v>1408</v>
      </c>
      <c r="I60" s="409">
        <f>ROUND(SUMPRODUCT(I72:I74,J72:J74),0)</f>
        <v>367</v>
      </c>
      <c r="J60" s="247">
        <f>IF($C$25=0,0,IF(J44=0,0,J11))</f>
        <v>4223</v>
      </c>
      <c r="K60" s="247">
        <f>IF($C$25=0,0,IF(AND(K6=0,K3&gt;0),ROUND(0.25*J60,0),K11))</f>
        <v>1408</v>
      </c>
      <c r="L60" s="409">
        <f>ROUND(SUMPRODUCT(L72:L74,M72:M74),0)</f>
        <v>629</v>
      </c>
      <c r="M60" s="247">
        <f>IF($C$25=0,0,IF(M44=0,0,M11))</f>
        <v>4223</v>
      </c>
      <c r="N60" s="247">
        <f>IF($C$25=0,0,IF(AND(N6=0,N3&gt;0),ROUND(0.25*M60,0),N11))</f>
        <v>1408</v>
      </c>
      <c r="Y60" s="78"/>
      <c r="Z60" s="78"/>
      <c r="AA60" s="78"/>
      <c r="AB60" s="78"/>
      <c r="AC60" s="78"/>
      <c r="AD60" s="78"/>
    </row>
    <row r="61" spans="2:54" hidden="1">
      <c r="B61" s="247" t="s">
        <v>373</v>
      </c>
      <c r="C61" s="3">
        <f t="shared" ref="C61:N61" si="19">IF($C$25=0,0,C38/$C$25)</f>
        <v>0.16666666666666666</v>
      </c>
      <c r="D61" s="247">
        <f t="shared" si="19"/>
        <v>0.18</v>
      </c>
      <c r="E61" s="247">
        <f t="shared" si="19"/>
        <v>0.18</v>
      </c>
      <c r="F61" s="247">
        <f t="shared" si="19"/>
        <v>0.35066666666666663</v>
      </c>
      <c r="G61" s="247">
        <f t="shared" si="19"/>
        <v>0.27333333333333332</v>
      </c>
      <c r="H61" s="247">
        <f t="shared" si="19"/>
        <v>0.27333333333333332</v>
      </c>
      <c r="I61" s="247">
        <f t="shared" si="19"/>
        <v>0.61333333333333329</v>
      </c>
      <c r="J61" s="247">
        <f t="shared" si="19"/>
        <v>0.61333333333333329</v>
      </c>
      <c r="K61" s="247">
        <f t="shared" si="19"/>
        <v>0.61333333333333329</v>
      </c>
      <c r="L61" s="247">
        <f t="shared" si="19"/>
        <v>0.61333333333333329</v>
      </c>
      <c r="M61" s="247">
        <f t="shared" si="19"/>
        <v>0.61333333333333329</v>
      </c>
      <c r="N61" s="247">
        <f t="shared" si="19"/>
        <v>0.61333333333333329</v>
      </c>
      <c r="Q61" s="62" t="s">
        <v>108</v>
      </c>
      <c r="R61" s="70">
        <f>IF(V47=0,0,ROUND(R47*$C$25/$V$47,0))</f>
        <v>0</v>
      </c>
      <c r="S61" s="70">
        <f>IF(V47=0,0,ROUND(S47*$C$25/$V$47,0))</f>
        <v>45</v>
      </c>
      <c r="T61" s="70">
        <f>IF(V47=0,0,ROUND(T47*$C$25/$V$47,0))</f>
        <v>78</v>
      </c>
      <c r="U61" s="70">
        <f>IF(V47=0,0,ROUND(U47*$C$25/$V$47,0))</f>
        <v>26</v>
      </c>
      <c r="W61" s="71">
        <f>SUM(R61:S61)</f>
        <v>45</v>
      </c>
      <c r="X61" s="71">
        <f>SUM(T61:U61)</f>
        <v>104</v>
      </c>
      <c r="Y61" s="47"/>
      <c r="Z61" s="62" t="s">
        <v>108</v>
      </c>
      <c r="AA61" s="193">
        <f>IF(W61=0,0,R31*MAX(Y47,ROUNDDOWN($W$64/W61*R61,0)))</f>
        <v>0</v>
      </c>
      <c r="AB61" s="193">
        <f>IF(W61=0,0,S31*MAX(Z47,ROUNDUP($W$64/W61*S61,0)))</f>
        <v>96</v>
      </c>
      <c r="AC61" s="193">
        <f>IF(X61=0,0,T31*MAX(AA47,ROUNDDOWN($X$64/X61*T61,0)))</f>
        <v>40</v>
      </c>
      <c r="AD61" s="193">
        <f>IF(X61=0,0,U31*MAX(AB47,ROUNDUP($X$64/X61*U61,0)))</f>
        <v>31</v>
      </c>
      <c r="AE61" s="47"/>
      <c r="AF61" s="62" t="s">
        <v>108</v>
      </c>
      <c r="AG61" s="193">
        <f>IF(AND(AB61=Z47,AA61+AB61&gt;W64),W64-AB63,AA63)</f>
        <v>0</v>
      </c>
      <c r="AH61" s="193">
        <f>IF(AND(AA61=Y47,AA61+AB61&gt;W64),W64-AA63,AB63)</f>
        <v>96</v>
      </c>
      <c r="AI61" s="193">
        <f>IF(AND(AD61=AB47,AC61+AD61&gt;X64),X64-AD63,AC63)</f>
        <v>23</v>
      </c>
      <c r="AJ61" s="193">
        <f>IF(AND(AC61=AA47,AC61+AD61&gt;X64),X64-AC63,AD63)</f>
        <v>31</v>
      </c>
      <c r="AK61" s="196"/>
      <c r="AM61" s="62"/>
      <c r="AN61" s="87"/>
      <c r="AO61" s="87"/>
      <c r="AP61" s="87"/>
      <c r="AQ61" s="87"/>
      <c r="AT61" s="62"/>
      <c r="AU61" s="87"/>
      <c r="AV61" s="87"/>
      <c r="AW61" s="87"/>
      <c r="AX61" s="87"/>
      <c r="AY61" s="77"/>
    </row>
    <row r="62" spans="2:54" hidden="1">
      <c r="C62" s="508" t="s">
        <v>13</v>
      </c>
      <c r="D62" s="508"/>
      <c r="F62" s="508" t="s">
        <v>18</v>
      </c>
      <c r="G62" s="508"/>
      <c r="I62" s="508" t="s">
        <v>3</v>
      </c>
      <c r="J62" s="508"/>
      <c r="L62" s="508" t="s">
        <v>8</v>
      </c>
      <c r="M62" s="508"/>
      <c r="Q62" s="47" t="s">
        <v>109</v>
      </c>
      <c r="R62" s="70">
        <f>IF(V48=0,0,ROUND(R48*$C$25/$V$48,0))</f>
        <v>0</v>
      </c>
      <c r="S62" s="70">
        <f>IF(V48=0,0,ROUND(S48*$C$25/$V$48,0))</f>
        <v>54</v>
      </c>
      <c r="T62" s="70">
        <f>IF(V48=0,0,ROUND(T48*$C$25/$V$48,0))</f>
        <v>9</v>
      </c>
      <c r="U62" s="70">
        <f>IF(V48=0,0,ROUND(U48*$C$25/$V$48,0))</f>
        <v>87</v>
      </c>
      <c r="W62" s="71">
        <f>SUM(R62:S62)</f>
        <v>54</v>
      </c>
      <c r="X62" s="71">
        <f>SUM(T62:U62)</f>
        <v>96</v>
      </c>
      <c r="Y62" s="214"/>
      <c r="Z62" s="47" t="s">
        <v>109</v>
      </c>
      <c r="AA62" s="193">
        <f>IF(W62=0,0,R32*MAX(Y48,ROUNDDOWN($W$64/W62*R62,0)))</f>
        <v>0</v>
      </c>
      <c r="AB62" s="193">
        <f>IF(W62=0,0,S32*MAX(Z48,ROUNDUP($W$64/W62*S62,0)))</f>
        <v>96</v>
      </c>
      <c r="AC62" s="193">
        <f>IF(X62=0,0,T32*MAX(AA48,ROUNDDOWN($X$64/X62*T62,0)))</f>
        <v>9</v>
      </c>
      <c r="AD62" s="193">
        <f>IF(X62=0,0,U32*MAX(AB48,ROUNDUP($X$64/X62*U62,0)))</f>
        <v>49</v>
      </c>
      <c r="AE62" s="47"/>
      <c r="AF62" s="47" t="s">
        <v>109</v>
      </c>
      <c r="AG62" s="193">
        <f>IF(AND(AB62=Z48,AA62+AB62&gt;W64),W64-AB62,AA64)</f>
        <v>0</v>
      </c>
      <c r="AH62" s="193">
        <f>IF(AND(AA62=Y48,AA62+AB62&gt;W64),W64-AA64,AB64)</f>
        <v>96</v>
      </c>
      <c r="AI62" s="193">
        <f>IF(AND(AD62=AB48,AC62+AD62&gt;X64),X64-AD64,AC64)</f>
        <v>9</v>
      </c>
      <c r="AJ62" s="193">
        <f>IF(AND(AC62=AA48,AC62+AD62&gt;X64),X64-AC64,AD64)</f>
        <v>45</v>
      </c>
      <c r="AK62" s="196"/>
      <c r="AM62" s="47"/>
      <c r="AN62" s="87"/>
      <c r="AO62" s="87"/>
      <c r="AP62" s="87"/>
      <c r="AQ62" s="87"/>
      <c r="AT62" s="47"/>
      <c r="AU62" s="87"/>
      <c r="AV62" s="87"/>
      <c r="AW62" s="87"/>
      <c r="AX62" s="87"/>
      <c r="AY62" s="77"/>
    </row>
    <row r="63" spans="2:54" hidden="1">
      <c r="B63" s="164" t="s">
        <v>227</v>
      </c>
      <c r="C63" s="164">
        <f>C103</f>
        <v>58</v>
      </c>
      <c r="D63" s="163">
        <f>IF('Phase designation'!B22=2,1,0)</f>
        <v>0</v>
      </c>
      <c r="F63" s="247">
        <f>F103</f>
        <v>64</v>
      </c>
      <c r="G63" s="164">
        <f>IF('Phase designation'!D22=2,1,0)</f>
        <v>0</v>
      </c>
      <c r="I63" s="247">
        <f>I103</f>
        <v>54</v>
      </c>
      <c r="J63" s="164">
        <f>IF('Phase designation'!F22=2,1,0)</f>
        <v>1</v>
      </c>
      <c r="L63" s="247">
        <f>L103</f>
        <v>58</v>
      </c>
      <c r="M63" s="164">
        <f>IF('Phase designation'!H22=2,1,0)</f>
        <v>1</v>
      </c>
      <c r="W63" s="65">
        <f>MAX(AC48,MAX(W61:W62))</f>
        <v>54</v>
      </c>
      <c r="X63" s="65">
        <f>MAX(AD48,MAX(X61:X62))</f>
        <v>104</v>
      </c>
      <c r="Y63" s="214"/>
      <c r="Z63" s="62" t="s">
        <v>108</v>
      </c>
      <c r="AA63" s="193">
        <f>AA61</f>
        <v>0</v>
      </c>
      <c r="AB63" s="193">
        <f t="shared" ref="AB63:AD64" si="20">AB61</f>
        <v>96</v>
      </c>
      <c r="AC63" s="193">
        <f t="shared" si="20"/>
        <v>40</v>
      </c>
      <c r="AD63" s="193">
        <f t="shared" si="20"/>
        <v>31</v>
      </c>
    </row>
    <row r="64" spans="2:54" ht="15.75" hidden="1" thickBot="1">
      <c r="B64" s="164" t="s">
        <v>228</v>
      </c>
      <c r="C64" s="3">
        <f>C102</f>
        <v>52</v>
      </c>
      <c r="D64" s="164">
        <f>IF('Phase designation'!B22=1,1,0)</f>
        <v>0</v>
      </c>
      <c r="F64" s="247">
        <f>F102</f>
        <v>183</v>
      </c>
      <c r="G64" s="164">
        <f>IF('Phase designation'!D22=1,1,0)</f>
        <v>0</v>
      </c>
      <c r="I64" s="247">
        <f>I102</f>
        <v>0</v>
      </c>
      <c r="J64" s="164">
        <f>IF('Phase designation'!F22=1,1,0)</f>
        <v>0</v>
      </c>
      <c r="L64" s="247">
        <f>L102</f>
        <v>0</v>
      </c>
      <c r="M64" s="164">
        <f>IF('Phase designation'!H22=1,1,0)</f>
        <v>0</v>
      </c>
      <c r="W64" s="76">
        <f>C25-MIN(W63:X63)</f>
        <v>96</v>
      </c>
      <c r="X64" s="76">
        <f>C25-W64</f>
        <v>54</v>
      </c>
      <c r="Y64" s="47"/>
      <c r="Z64" s="47" t="s">
        <v>109</v>
      </c>
      <c r="AA64" s="193">
        <f>AA62</f>
        <v>0</v>
      </c>
      <c r="AB64" s="193">
        <f t="shared" si="20"/>
        <v>96</v>
      </c>
      <c r="AC64" s="193">
        <f t="shared" si="20"/>
        <v>9</v>
      </c>
      <c r="AD64" s="193">
        <f t="shared" si="20"/>
        <v>49</v>
      </c>
      <c r="AE64" s="197" t="s">
        <v>226</v>
      </c>
    </row>
    <row r="65" spans="2:48" s="77" customFormat="1" hidden="1">
      <c r="B65" s="77" t="s">
        <v>229</v>
      </c>
      <c r="C65" s="77">
        <f>C110</f>
        <v>109</v>
      </c>
      <c r="D65" s="77">
        <f>IF('Phase designation'!B22=3,1,0)</f>
        <v>1</v>
      </c>
      <c r="F65" s="292">
        <f>F110</f>
        <v>247</v>
      </c>
      <c r="G65" s="77">
        <f>IF('Phase designation'!D22=3,1,0)</f>
        <v>1</v>
      </c>
      <c r="I65" s="292">
        <f>I110</f>
        <v>54</v>
      </c>
      <c r="J65" s="77">
        <f>IF('Phase designation'!F22=3,1,0)</f>
        <v>0</v>
      </c>
      <c r="L65" s="292">
        <f>L110</f>
        <v>58</v>
      </c>
      <c r="M65" s="77">
        <f>IF('Phase designation'!H22=3,1,0)</f>
        <v>0</v>
      </c>
      <c r="P65" s="292"/>
      <c r="Q65" s="172"/>
      <c r="R65" s="173"/>
      <c r="S65" s="173"/>
      <c r="T65" s="173"/>
      <c r="U65" s="173"/>
      <c r="V65" s="174" t="s">
        <v>135</v>
      </c>
      <c r="W65" s="175" t="s">
        <v>240</v>
      </c>
      <c r="X65" s="176" t="s">
        <v>241</v>
      </c>
      <c r="Y65" s="47"/>
      <c r="AA65" s="78"/>
      <c r="AB65" s="78"/>
      <c r="AC65" s="78"/>
      <c r="AD65" s="78"/>
      <c r="AE65" s="78"/>
      <c r="AF65" s="78"/>
      <c r="AG65" s="78"/>
      <c r="AH65" s="78"/>
      <c r="AI65" s="78"/>
      <c r="AJ65" s="78"/>
    </row>
    <row r="66" spans="2:48" s="77" customFormat="1" hidden="1">
      <c r="B66" s="247" t="s">
        <v>371</v>
      </c>
      <c r="C66" s="3">
        <f>C109</f>
        <v>170</v>
      </c>
      <c r="D66" s="77">
        <f>IF(AND(C6=0,C3&gt;0),1,0)</f>
        <v>0</v>
      </c>
      <c r="F66" s="247">
        <f>F109</f>
        <v>273</v>
      </c>
      <c r="G66" s="292">
        <f>IF(AND(F6=0,F3&gt;0),1,0)</f>
        <v>0</v>
      </c>
      <c r="I66" s="247">
        <f>I109</f>
        <v>246</v>
      </c>
      <c r="J66" s="292">
        <f>IF(AND(I6=0,I3&gt;0),1,0)</f>
        <v>0</v>
      </c>
      <c r="L66" s="247">
        <f>L109</f>
        <v>405</v>
      </c>
      <c r="M66" s="292">
        <f>IF(AND(L6=0,L3&gt;0),1,0)</f>
        <v>0</v>
      </c>
      <c r="P66" s="292"/>
      <c r="Q66" s="177" t="s">
        <v>108</v>
      </c>
      <c r="R66" s="169">
        <f t="shared" ref="R66:U67" si="21">AG61</f>
        <v>0</v>
      </c>
      <c r="S66" s="169">
        <f t="shared" si="21"/>
        <v>96</v>
      </c>
      <c r="T66" s="169">
        <f t="shared" si="21"/>
        <v>23</v>
      </c>
      <c r="U66" s="169">
        <f t="shared" si="21"/>
        <v>31</v>
      </c>
      <c r="V66" s="167">
        <f>SUM(R66:U66)</f>
        <v>150</v>
      </c>
      <c r="W66" s="170">
        <f>R66+S66</f>
        <v>96</v>
      </c>
      <c r="X66" s="178">
        <f>T66+U66</f>
        <v>54</v>
      </c>
      <c r="Y66" s="47"/>
      <c r="Z66" s="62" t="s">
        <v>108</v>
      </c>
      <c r="AA66" s="217">
        <f t="shared" ref="AA66:AD67" si="22">IF(R66&lt;Y47,1,0)</f>
        <v>0</v>
      </c>
      <c r="AB66" s="217">
        <f t="shared" si="22"/>
        <v>0</v>
      </c>
      <c r="AC66" s="217">
        <f t="shared" si="22"/>
        <v>0</v>
      </c>
      <c r="AD66" s="217">
        <f t="shared" si="22"/>
        <v>0</v>
      </c>
      <c r="AE66" s="78"/>
      <c r="AF66" s="45"/>
      <c r="AG66" s="45"/>
      <c r="AH66" s="45"/>
      <c r="AI66" s="45"/>
      <c r="AJ66" s="78"/>
    </row>
    <row r="67" spans="2:48" s="77" customFormat="1" ht="15.75" hidden="1" thickBot="1">
      <c r="P67" s="292"/>
      <c r="Q67" s="179" t="s">
        <v>109</v>
      </c>
      <c r="R67" s="180">
        <f t="shared" si="21"/>
        <v>0</v>
      </c>
      <c r="S67" s="180">
        <f t="shared" si="21"/>
        <v>96</v>
      </c>
      <c r="T67" s="180">
        <f t="shared" si="21"/>
        <v>9</v>
      </c>
      <c r="U67" s="180">
        <f t="shared" si="21"/>
        <v>45</v>
      </c>
      <c r="V67" s="181">
        <f>SUM(R67:U67)</f>
        <v>150</v>
      </c>
      <c r="W67" s="182">
        <f>R67+S67</f>
        <v>96</v>
      </c>
      <c r="X67" s="183">
        <f>T67+U67</f>
        <v>54</v>
      </c>
      <c r="Y67" s="47"/>
      <c r="Z67" s="47" t="s">
        <v>109</v>
      </c>
      <c r="AA67" s="217">
        <f t="shared" si="22"/>
        <v>0</v>
      </c>
      <c r="AB67" s="217">
        <f t="shared" si="22"/>
        <v>0</v>
      </c>
      <c r="AC67" s="217">
        <f t="shared" si="22"/>
        <v>0</v>
      </c>
      <c r="AD67" s="217">
        <f t="shared" si="22"/>
        <v>0</v>
      </c>
      <c r="AE67" s="218">
        <f>SUM(AA66:AD67)</f>
        <v>0</v>
      </c>
      <c r="AF67" s="45"/>
      <c r="AG67" s="45"/>
      <c r="AH67" s="45"/>
      <c r="AI67" s="45"/>
      <c r="AJ67" s="78"/>
    </row>
    <row r="68" spans="2:48" hidden="1">
      <c r="B68" s="240" t="s">
        <v>340</v>
      </c>
      <c r="C68" s="77">
        <f>MAX(0,D37)</f>
        <v>25.5</v>
      </c>
      <c r="D68" s="77">
        <f>D63</f>
        <v>0</v>
      </c>
      <c r="E68" s="77"/>
      <c r="F68" s="292">
        <f>MAX(0,G37)</f>
        <v>39.299999999999997</v>
      </c>
      <c r="G68" s="77">
        <f>G63</f>
        <v>0</v>
      </c>
      <c r="H68" s="77"/>
      <c r="I68" s="292">
        <f>MAX(0,J37)</f>
        <v>90.199999999999989</v>
      </c>
      <c r="J68" s="77">
        <f>J63</f>
        <v>1</v>
      </c>
      <c r="K68" s="77"/>
      <c r="L68" s="292">
        <f>MAX(0,M37)</f>
        <v>90.199999999999989</v>
      </c>
      <c r="M68" s="77">
        <f>M63</f>
        <v>1</v>
      </c>
      <c r="N68" s="77"/>
      <c r="X68" s="77"/>
      <c r="Z68" s="197"/>
      <c r="AA68" s="197"/>
      <c r="AB68" s="197"/>
      <c r="AC68" s="197"/>
      <c r="AD68" s="197"/>
      <c r="AE68" s="199"/>
      <c r="AF68" s="199"/>
      <c r="AG68" s="199"/>
      <c r="AH68" s="199"/>
      <c r="AI68" s="199"/>
    </row>
    <row r="69" spans="2:48" hidden="1">
      <c r="B69" s="240" t="s">
        <v>341</v>
      </c>
      <c r="C69" s="240">
        <f>MAX(0,C34-C35-C36)</f>
        <v>3.5</v>
      </c>
      <c r="D69" s="77">
        <f>D64</f>
        <v>0</v>
      </c>
      <c r="E69" s="77"/>
      <c r="F69" s="247">
        <f>MAX(0,F34-F35-F36)</f>
        <v>17.3</v>
      </c>
      <c r="G69" s="77">
        <f>G64</f>
        <v>0</v>
      </c>
      <c r="H69" s="77"/>
      <c r="I69" s="247">
        <f>MAX(0,I34-I35-I36)</f>
        <v>0</v>
      </c>
      <c r="J69" s="77">
        <f>J64</f>
        <v>0</v>
      </c>
      <c r="K69" s="77"/>
      <c r="L69" s="247">
        <f>MAX(0,L34-L35-L36)</f>
        <v>0</v>
      </c>
      <c r="M69" s="77">
        <f>M64</f>
        <v>0</v>
      </c>
      <c r="N69" s="77"/>
      <c r="Q69" s="3">
        <f>R29</f>
        <v>0</v>
      </c>
      <c r="R69" s="69">
        <f>S29</f>
        <v>2</v>
      </c>
      <c r="S69" s="69">
        <f>T29</f>
        <v>3</v>
      </c>
      <c r="T69" s="69">
        <f>U29</f>
        <v>4</v>
      </c>
      <c r="U69" s="69">
        <f>R30</f>
        <v>0</v>
      </c>
      <c r="V69" s="69">
        <f>S30</f>
        <v>6</v>
      </c>
      <c r="W69" s="69">
        <f>T30</f>
        <v>7</v>
      </c>
      <c r="X69" s="69">
        <f>U30</f>
        <v>8</v>
      </c>
    </row>
    <row r="70" spans="2:48" hidden="1">
      <c r="B70" s="77" t="s">
        <v>342</v>
      </c>
      <c r="C70" s="3">
        <f>MAX(0,C69+C68-C35-C36)</f>
        <v>23.5</v>
      </c>
      <c r="D70" s="77">
        <f>D65</f>
        <v>1</v>
      </c>
      <c r="E70" s="77"/>
      <c r="F70" s="247">
        <f>MAX(0,F69+F68-F35-F36)</f>
        <v>50.899999999999991</v>
      </c>
      <c r="G70" s="77">
        <f>G65</f>
        <v>1</v>
      </c>
      <c r="H70" s="77"/>
      <c r="I70" s="247">
        <f>MAX(0,I69+I68-I35-I36)</f>
        <v>84.399999999999977</v>
      </c>
      <c r="J70" s="77">
        <f>J65</f>
        <v>0</v>
      </c>
      <c r="K70" s="77"/>
      <c r="L70" s="247">
        <f>MAX(0,L69+L68-L35-L36)</f>
        <v>84.399999999999977</v>
      </c>
      <c r="M70" s="77">
        <f>M65</f>
        <v>0</v>
      </c>
      <c r="Q70" s="3">
        <f>C89</f>
        <v>0</v>
      </c>
      <c r="R70" s="216">
        <f>D89</f>
        <v>96</v>
      </c>
      <c r="S70" s="216">
        <f>E89</f>
        <v>23</v>
      </c>
      <c r="T70" s="216">
        <f>F89</f>
        <v>31</v>
      </c>
      <c r="U70" s="3">
        <f>C90</f>
        <v>0</v>
      </c>
      <c r="V70" s="216">
        <f>D90</f>
        <v>96</v>
      </c>
      <c r="W70" s="216">
        <f>E90</f>
        <v>9</v>
      </c>
      <c r="X70" s="216">
        <f>F90</f>
        <v>45</v>
      </c>
    </row>
    <row r="71" spans="2:48" hidden="1">
      <c r="D71" s="247"/>
      <c r="F71" s="247"/>
      <c r="G71" s="247"/>
      <c r="I71" s="247"/>
      <c r="J71" s="247"/>
      <c r="L71" s="247"/>
      <c r="M71" s="247"/>
      <c r="Q71" s="3">
        <f>C33</f>
        <v>7</v>
      </c>
      <c r="R71" s="163">
        <f>D33</f>
        <v>4</v>
      </c>
      <c r="S71" s="163">
        <f>F33</f>
        <v>3</v>
      </c>
      <c r="T71" s="163">
        <f>G33</f>
        <v>8</v>
      </c>
      <c r="U71" s="163">
        <f>I33</f>
        <v>0</v>
      </c>
      <c r="V71" s="163">
        <f>J33</f>
        <v>2</v>
      </c>
      <c r="W71" s="163">
        <f>L33</f>
        <v>0</v>
      </c>
      <c r="X71" s="163">
        <f>M33</f>
        <v>6</v>
      </c>
    </row>
    <row r="72" spans="2:48" s="409" customFormat="1" hidden="1">
      <c r="B72" s="409" t="s">
        <v>456</v>
      </c>
      <c r="C72" s="409">
        <f>C14</f>
        <v>845</v>
      </c>
      <c r="D72" s="409">
        <f>D68</f>
        <v>0</v>
      </c>
      <c r="F72" s="409">
        <f>F14</f>
        <v>1293</v>
      </c>
      <c r="G72" s="409">
        <f>G68</f>
        <v>0</v>
      </c>
      <c r="I72" s="409">
        <f>I14</f>
        <v>367</v>
      </c>
      <c r="J72" s="409">
        <f>J68</f>
        <v>1</v>
      </c>
      <c r="L72" s="409">
        <f>L14</f>
        <v>629</v>
      </c>
      <c r="M72" s="409">
        <f>M68</f>
        <v>1</v>
      </c>
      <c r="P72" s="410"/>
      <c r="AE72" s="411"/>
      <c r="AF72" s="411"/>
      <c r="AG72" s="411"/>
      <c r="AH72" s="411"/>
      <c r="AI72" s="411"/>
      <c r="AJ72" s="411"/>
      <c r="AK72" s="410"/>
      <c r="AL72" s="410"/>
      <c r="AM72" s="410"/>
      <c r="AN72" s="410"/>
      <c r="AO72" s="410"/>
      <c r="AP72" s="410"/>
      <c r="AQ72" s="410"/>
      <c r="AR72" s="410"/>
      <c r="AS72" s="410"/>
      <c r="AT72" s="410"/>
      <c r="AU72" s="410"/>
      <c r="AV72" s="410"/>
    </row>
    <row r="73" spans="2:48" s="409" customFormat="1" hidden="1">
      <c r="B73" s="409" t="s">
        <v>457</v>
      </c>
      <c r="C73" s="409">
        <f>C11</f>
        <v>1408</v>
      </c>
      <c r="D73" s="409">
        <f>D69</f>
        <v>0</v>
      </c>
      <c r="F73" s="409">
        <f>F11</f>
        <v>1408</v>
      </c>
      <c r="G73" s="409">
        <f>G69</f>
        <v>0</v>
      </c>
      <c r="I73" s="409">
        <f>I11</f>
        <v>0</v>
      </c>
      <c r="J73" s="409">
        <f>J69</f>
        <v>0</v>
      </c>
      <c r="L73" s="409">
        <f>L11</f>
        <v>0</v>
      </c>
      <c r="M73" s="409">
        <f>M69</f>
        <v>0</v>
      </c>
      <c r="P73" s="410"/>
      <c r="AE73" s="411"/>
      <c r="AF73" s="411"/>
      <c r="AG73" s="411"/>
      <c r="AH73" s="411"/>
      <c r="AI73" s="411"/>
      <c r="AJ73" s="411"/>
      <c r="AK73" s="410"/>
      <c r="AL73" s="410"/>
      <c r="AM73" s="410"/>
      <c r="AN73" s="410"/>
      <c r="AO73" s="410"/>
      <c r="AP73" s="410"/>
      <c r="AQ73" s="410"/>
      <c r="AR73" s="410"/>
      <c r="AS73" s="410"/>
      <c r="AT73" s="410"/>
      <c r="AU73" s="410"/>
      <c r="AV73" s="410"/>
    </row>
    <row r="74" spans="2:48" s="409" customFormat="1" hidden="1">
      <c r="B74" s="409" t="s">
        <v>458</v>
      </c>
      <c r="C74" s="386">
        <f>(C73*C69+C72*C68)/C70</f>
        <v>1126.6170212765958</v>
      </c>
      <c r="D74" s="409">
        <f>D70</f>
        <v>1</v>
      </c>
      <c r="F74" s="386">
        <f>(F73*F69+F72*F68)/F70</f>
        <v>1476.8821218074656</v>
      </c>
      <c r="G74" s="409">
        <f>G70</f>
        <v>1</v>
      </c>
      <c r="I74" s="386">
        <f>(I73*I69+I72*I68)/I70</f>
        <v>392.22037914691947</v>
      </c>
      <c r="J74" s="409">
        <f>J70</f>
        <v>0</v>
      </c>
      <c r="L74" s="386">
        <f>(L73*L69+L72*L68)/L70</f>
        <v>672.22511848341242</v>
      </c>
      <c r="M74" s="409">
        <f>M70</f>
        <v>0</v>
      </c>
      <c r="P74" s="410"/>
      <c r="AE74" s="411"/>
      <c r="AF74" s="411"/>
      <c r="AG74" s="411"/>
      <c r="AH74" s="411"/>
      <c r="AI74" s="411"/>
      <c r="AJ74" s="411"/>
      <c r="AK74" s="410"/>
      <c r="AL74" s="410"/>
      <c r="AM74" s="410"/>
      <c r="AN74" s="410"/>
      <c r="AO74" s="410"/>
      <c r="AP74" s="410"/>
      <c r="AQ74" s="410"/>
      <c r="AR74" s="410"/>
      <c r="AS74" s="410"/>
      <c r="AT74" s="410"/>
      <c r="AU74" s="410"/>
      <c r="AV74" s="410"/>
    </row>
    <row r="75" spans="2:48" hidden="1">
      <c r="Q75" s="77">
        <f>IF(Q71=0,0,MATCH(Q71,$Q$69:$X$69,0))</f>
        <v>7</v>
      </c>
      <c r="R75" s="77">
        <f t="shared" ref="R75:X75" si="23">IF(R71=0,0,MATCH(R71,$Q$69:$X$69,0))</f>
        <v>4</v>
      </c>
      <c r="S75" s="77">
        <f t="shared" si="23"/>
        <v>3</v>
      </c>
      <c r="T75" s="77">
        <f t="shared" si="23"/>
        <v>8</v>
      </c>
      <c r="U75" s="77">
        <f t="shared" si="23"/>
        <v>0</v>
      </c>
      <c r="V75" s="77">
        <f t="shared" si="23"/>
        <v>2</v>
      </c>
      <c r="W75" s="77">
        <f t="shared" si="23"/>
        <v>0</v>
      </c>
      <c r="X75" s="77">
        <f t="shared" si="23"/>
        <v>6</v>
      </c>
    </row>
    <row r="76" spans="2:48" s="247" customFormat="1" hidden="1">
      <c r="C76" s="247" t="s">
        <v>13</v>
      </c>
      <c r="D76" s="3"/>
      <c r="E76" s="243"/>
      <c r="F76" s="247" t="s">
        <v>18</v>
      </c>
      <c r="G76" s="3"/>
      <c r="H76" s="243"/>
      <c r="I76" s="247" t="s">
        <v>3</v>
      </c>
      <c r="J76" s="3"/>
      <c r="K76" s="243"/>
      <c r="L76" s="247" t="s">
        <v>8</v>
      </c>
      <c r="P76" s="292"/>
      <c r="Q76" s="292"/>
      <c r="R76" s="292"/>
      <c r="S76" s="292"/>
      <c r="T76" s="292"/>
      <c r="U76" s="292"/>
      <c r="V76" s="292"/>
      <c r="W76" s="292"/>
      <c r="X76" s="292"/>
      <c r="AE76" s="252"/>
      <c r="AF76" s="252"/>
      <c r="AG76" s="252"/>
      <c r="AH76" s="252"/>
      <c r="AI76" s="252"/>
      <c r="AJ76" s="252"/>
      <c r="AK76" s="292"/>
      <c r="AL76" s="292"/>
      <c r="AM76" s="292"/>
      <c r="AN76" s="292"/>
      <c r="AO76" s="292"/>
      <c r="AP76" s="292"/>
      <c r="AQ76" s="292"/>
      <c r="AR76" s="292"/>
      <c r="AS76" s="292"/>
      <c r="AT76" s="292"/>
      <c r="AU76" s="292"/>
      <c r="AV76" s="292"/>
    </row>
    <row r="77" spans="2:48" s="247" customFormat="1" hidden="1">
      <c r="B77" s="247" t="s">
        <v>351</v>
      </c>
      <c r="C77" s="247">
        <f>IF(C34&lt;F34,MAX(0,MIN(C34+G34-F34-D35-D36,G34-D35-D36-G37)),G34-D35-D36-G37)</f>
        <v>0.20000000000000284</v>
      </c>
      <c r="F77" s="247">
        <f>IF(F34&lt;C34,MAX(0,MIN(F34+D34-C34-G35-G36,D34-G35-G36-D37)),D34-G35-G36-D37)</f>
        <v>-0.19999999999999929</v>
      </c>
      <c r="I77" s="247">
        <f>IF(I34&lt;L34,MAX(0,MIN(I34+M34-L34-J35-J36,M34-J35-J36-M37)),M34-J35-J36-M37)</f>
        <v>0</v>
      </c>
      <c r="L77" s="247">
        <f>IF(L34&lt;I34,MAX(0,MIN(L34+J34-I34-M35-M36,J34-M35-M36-J37)),J34-M35-M36-J37)</f>
        <v>0</v>
      </c>
      <c r="P77" s="292"/>
      <c r="Q77" s="292"/>
      <c r="R77" s="292"/>
      <c r="S77" s="292"/>
      <c r="T77" s="292"/>
      <c r="U77" s="292"/>
      <c r="V77" s="292"/>
      <c r="W77" s="292"/>
      <c r="X77" s="292"/>
      <c r="AE77" s="252"/>
      <c r="AF77" s="252"/>
      <c r="AG77" s="252"/>
      <c r="AH77" s="252"/>
      <c r="AI77" s="252"/>
      <c r="AJ77" s="252"/>
      <c r="AK77" s="292"/>
      <c r="AL77" s="292"/>
      <c r="AM77" s="292"/>
      <c r="AN77" s="292"/>
      <c r="AO77" s="292"/>
      <c r="AP77" s="292"/>
      <c r="AQ77" s="292"/>
      <c r="AR77" s="292"/>
      <c r="AS77" s="292"/>
      <c r="AT77" s="292"/>
      <c r="AU77" s="292"/>
      <c r="AV77" s="292"/>
    </row>
    <row r="78" spans="2:48" s="247" customFormat="1" hidden="1">
      <c r="B78" s="247" t="s">
        <v>352</v>
      </c>
      <c r="C78" s="247">
        <f>IF(C34&lt;F34,MAX(0,MIN(C34+G34-F34-D35-D36,G34-D35-D36)),G34-D35-D36)</f>
        <v>25.5</v>
      </c>
      <c r="F78" s="247">
        <f>IF(F34&lt;C34,MAX(0,MIN(F34+D34-C34-G35-G36,D34-G35-G36)),D34-G35-G36)</f>
        <v>25.3</v>
      </c>
      <c r="I78" s="247">
        <f>IF(I34&lt;L34,MAX(0,MIN(I34+M34-L34-J35-J36,M34-J35-J36)),M34-J35-J36)</f>
        <v>90.199999999999989</v>
      </c>
      <c r="L78" s="247">
        <f>IF(L34&lt;I34,MAX(0,MIN(L34+J34-I34-M35-M36,J34-M35-M36)),J34-M35-M36)</f>
        <v>90.199999999999989</v>
      </c>
      <c r="P78" s="292"/>
      <c r="Q78" s="292"/>
      <c r="R78" s="292"/>
      <c r="S78" s="292"/>
      <c r="T78" s="292"/>
      <c r="U78" s="292"/>
      <c r="V78" s="292"/>
      <c r="W78" s="292"/>
      <c r="X78" s="292"/>
      <c r="AE78" s="252"/>
      <c r="AF78" s="252"/>
      <c r="AG78" s="252"/>
      <c r="AH78" s="252"/>
      <c r="AI78" s="252"/>
      <c r="AJ78" s="252"/>
      <c r="AK78" s="292"/>
      <c r="AL78" s="292"/>
      <c r="AM78" s="292"/>
      <c r="AN78" s="292"/>
      <c r="AO78" s="292"/>
      <c r="AP78" s="292"/>
      <c r="AQ78" s="292"/>
      <c r="AR78" s="292"/>
      <c r="AS78" s="292"/>
      <c r="AT78" s="292"/>
      <c r="AU78" s="292"/>
      <c r="AV78" s="292"/>
    </row>
    <row r="79" spans="2:48" s="247" customFormat="1" hidden="1">
      <c r="B79" s="247" t="s">
        <v>355</v>
      </c>
      <c r="C79" s="247">
        <f>IF(F34&gt;(C34-C35-C36),MIN(C80,F34-(C34-C35-C36)+C80-C81),0)</f>
        <v>2</v>
      </c>
      <c r="F79" s="247">
        <f>IF(C34&gt;(F34-F35-F36),MIN(F80,C34-(F34-F35-F36)+F80-F81),0)</f>
        <v>0</v>
      </c>
      <c r="I79" s="247">
        <f>IF(L34&gt;(I34-I35-I36),MIN(I80,L34-(I34-I35-I36)+I80-I81),0)</f>
        <v>2</v>
      </c>
      <c r="L79" s="247">
        <f>IF(I34&gt;(L34-L35-L36),MIN(L80,I34-(L34-L35-L36)+L80-L81),0)</f>
        <v>2</v>
      </c>
      <c r="P79" s="292"/>
      <c r="Q79" s="292"/>
      <c r="R79" s="292"/>
      <c r="S79" s="292"/>
      <c r="T79" s="292"/>
      <c r="U79" s="292"/>
      <c r="V79" s="292"/>
      <c r="W79" s="292"/>
      <c r="X79" s="292"/>
      <c r="AE79" s="252"/>
      <c r="AF79" s="252"/>
      <c r="AG79" s="252"/>
      <c r="AH79" s="252"/>
      <c r="AI79" s="252"/>
      <c r="AJ79" s="252"/>
      <c r="AK79" s="292"/>
      <c r="AL79" s="292"/>
      <c r="AM79" s="292"/>
      <c r="AN79" s="292"/>
      <c r="AO79" s="292"/>
      <c r="AP79" s="292"/>
      <c r="AQ79" s="292"/>
      <c r="AR79" s="292"/>
      <c r="AS79" s="292"/>
      <c r="AT79" s="292"/>
      <c r="AU79" s="292"/>
      <c r="AV79" s="292"/>
    </row>
    <row r="80" spans="2:48" s="247" customFormat="1" hidden="1">
      <c r="B80" s="247" t="s">
        <v>357</v>
      </c>
      <c r="C80" s="247">
        <v>2</v>
      </c>
      <c r="F80" s="247">
        <v>2</v>
      </c>
      <c r="I80" s="247">
        <v>2</v>
      </c>
      <c r="L80" s="247">
        <v>2</v>
      </c>
      <c r="P80" s="292"/>
      <c r="Q80" s="292"/>
      <c r="R80" s="292"/>
      <c r="S80" s="292"/>
      <c r="T80" s="292"/>
      <c r="U80" s="292"/>
      <c r="V80" s="292"/>
      <c r="W80" s="292"/>
      <c r="X80" s="292"/>
      <c r="AE80" s="252"/>
      <c r="AF80" s="252"/>
      <c r="AG80" s="252"/>
      <c r="AH80" s="252"/>
      <c r="AI80" s="252"/>
      <c r="AJ80" s="252"/>
      <c r="AK80" s="292"/>
      <c r="AL80" s="292"/>
      <c r="AM80" s="292"/>
      <c r="AN80" s="292"/>
      <c r="AO80" s="292"/>
      <c r="AP80" s="292"/>
      <c r="AQ80" s="292"/>
      <c r="AR80" s="292"/>
      <c r="AS80" s="292"/>
      <c r="AT80" s="292"/>
      <c r="AU80" s="292"/>
      <c r="AV80" s="292"/>
    </row>
    <row r="81" spans="2:48" s="247" customFormat="1" hidden="1">
      <c r="B81" s="247" t="s">
        <v>356</v>
      </c>
      <c r="C81" s="247">
        <f>Phasing_calc!O27</f>
        <v>1.5</v>
      </c>
      <c r="F81" s="247">
        <f>Phasing_calc!Q27</f>
        <v>2</v>
      </c>
      <c r="I81" s="247">
        <f>Phasing_calc!S27</f>
        <v>2.2999999999999998</v>
      </c>
      <c r="L81" s="247">
        <f>Phasing_calc!U27</f>
        <v>2.2999999999999998</v>
      </c>
      <c r="P81" s="292"/>
      <c r="Q81" s="292"/>
      <c r="R81" s="292"/>
      <c r="S81" s="292"/>
      <c r="T81" s="292"/>
      <c r="U81" s="292"/>
      <c r="V81" s="292"/>
      <c r="W81" s="292"/>
      <c r="X81" s="292"/>
      <c r="AE81" s="252"/>
      <c r="AF81" s="252"/>
      <c r="AG81" s="252"/>
      <c r="AH81" s="252"/>
      <c r="AI81" s="252"/>
      <c r="AJ81" s="252"/>
      <c r="AK81" s="292"/>
      <c r="AL81" s="292"/>
      <c r="AM81" s="292"/>
      <c r="AN81" s="292"/>
      <c r="AO81" s="292"/>
      <c r="AP81" s="292"/>
      <c r="AQ81" s="292"/>
      <c r="AR81" s="292"/>
      <c r="AS81" s="292"/>
      <c r="AT81" s="292"/>
      <c r="AU81" s="292"/>
      <c r="AV81" s="292"/>
    </row>
    <row r="82" spans="2:48" s="247" customFormat="1" hidden="1">
      <c r="B82" s="247" t="s">
        <v>353</v>
      </c>
      <c r="C82" s="247">
        <f>MIN(C77+C81,C83)</f>
        <v>1.7000000000000028</v>
      </c>
      <c r="F82" s="247">
        <f>MIN(F77+F81,F83)</f>
        <v>1.8000000000000007</v>
      </c>
      <c r="I82" s="247">
        <f>MIN(I77+I81,I83)</f>
        <v>2.2999999999999998</v>
      </c>
      <c r="L82" s="247">
        <f>MIN(L77+L81,L83)</f>
        <v>2.2999999999999998</v>
      </c>
      <c r="P82" s="292"/>
      <c r="Q82" s="292"/>
      <c r="R82" s="292"/>
      <c r="S82" s="292"/>
      <c r="T82" s="292"/>
      <c r="U82" s="292"/>
      <c r="V82" s="292"/>
      <c r="W82" s="292"/>
      <c r="X82" s="292"/>
      <c r="AE82" s="252"/>
      <c r="AF82" s="252"/>
      <c r="AG82" s="252"/>
      <c r="AH82" s="252"/>
      <c r="AI82" s="252"/>
      <c r="AJ82" s="252"/>
      <c r="AK82" s="292"/>
      <c r="AL82" s="292"/>
      <c r="AM82" s="292"/>
      <c r="AN82" s="292"/>
      <c r="AO82" s="292"/>
      <c r="AP82" s="292"/>
      <c r="AQ82" s="292"/>
      <c r="AR82" s="292"/>
      <c r="AS82" s="292"/>
      <c r="AT82" s="292"/>
      <c r="AU82" s="292"/>
      <c r="AV82" s="292"/>
    </row>
    <row r="83" spans="2:48" s="247" customFormat="1" hidden="1">
      <c r="B83" s="247" t="s">
        <v>354</v>
      </c>
      <c r="C83" s="247">
        <f>MAX(0,C78-C79+C81)</f>
        <v>25</v>
      </c>
      <c r="F83" s="247">
        <f>MAX(0,F78-F79+F81)</f>
        <v>27.3</v>
      </c>
      <c r="I83" s="247">
        <f>MAX(0,I78-I79+I81)</f>
        <v>90.499999999999986</v>
      </c>
      <c r="L83" s="247">
        <f>MAX(0,L78-L79+L81)</f>
        <v>90.499999999999986</v>
      </c>
      <c r="P83" s="292"/>
      <c r="Q83" s="292"/>
      <c r="R83" s="292"/>
      <c r="S83" s="292"/>
      <c r="T83" s="292"/>
      <c r="U83" s="292"/>
      <c r="V83" s="292"/>
      <c r="W83" s="292"/>
      <c r="X83" s="292"/>
      <c r="AE83" s="252"/>
      <c r="AF83" s="252"/>
      <c r="AG83" s="252"/>
      <c r="AH83" s="252"/>
      <c r="AI83" s="252"/>
      <c r="AJ83" s="252"/>
      <c r="AK83" s="292"/>
      <c r="AL83" s="292"/>
      <c r="AM83" s="292"/>
      <c r="AN83" s="292"/>
      <c r="AO83" s="292"/>
      <c r="AP83" s="292"/>
      <c r="AQ83" s="292"/>
      <c r="AR83" s="292"/>
      <c r="AS83" s="292"/>
      <c r="AT83" s="292"/>
      <c r="AU83" s="292"/>
      <c r="AV83" s="292"/>
    </row>
    <row r="84" spans="2:48" s="247" customFormat="1" hidden="1">
      <c r="P84" s="292"/>
      <c r="Q84" s="292"/>
      <c r="R84" s="292"/>
      <c r="S84" s="292"/>
      <c r="T84" s="292"/>
      <c r="U84" s="292"/>
      <c r="V84" s="292"/>
      <c r="W84" s="292"/>
      <c r="X84" s="292"/>
      <c r="AE84" s="252"/>
      <c r="AF84" s="252"/>
      <c r="AG84" s="252"/>
      <c r="AH84" s="252"/>
      <c r="AI84" s="252"/>
      <c r="AJ84" s="252"/>
      <c r="AK84" s="292"/>
      <c r="AL84" s="292"/>
      <c r="AM84" s="292"/>
      <c r="AN84" s="292"/>
      <c r="AO84" s="292"/>
      <c r="AP84" s="292"/>
      <c r="AQ84" s="292"/>
      <c r="AR84" s="292"/>
      <c r="AS84" s="292"/>
      <c r="AT84" s="292"/>
      <c r="AU84" s="292"/>
      <c r="AV84" s="292"/>
    </row>
    <row r="85" spans="2:48" s="247" customFormat="1" hidden="1">
      <c r="P85" s="292"/>
      <c r="Q85" s="292"/>
      <c r="R85" s="292"/>
      <c r="S85" s="292"/>
      <c r="T85" s="292"/>
      <c r="U85" s="292"/>
      <c r="V85" s="292"/>
      <c r="W85" s="292"/>
      <c r="X85" s="292"/>
      <c r="AE85" s="252"/>
      <c r="AF85" s="252"/>
      <c r="AG85" s="252"/>
      <c r="AH85" s="252"/>
      <c r="AI85" s="252"/>
      <c r="AJ85" s="252"/>
      <c r="AK85" s="292"/>
      <c r="AL85" s="292"/>
      <c r="AM85" s="292"/>
      <c r="AN85" s="292"/>
      <c r="AO85" s="292"/>
      <c r="AP85" s="292"/>
      <c r="AQ85" s="292"/>
      <c r="AR85" s="292"/>
      <c r="AS85" s="292"/>
      <c r="AT85" s="292"/>
      <c r="AU85" s="292"/>
      <c r="AV85" s="292"/>
    </row>
    <row r="86" spans="2:48" s="247" customFormat="1" hidden="1">
      <c r="P86" s="292"/>
      <c r="Q86" s="292"/>
      <c r="R86" s="292"/>
      <c r="S86" s="292"/>
      <c r="T86" s="292"/>
      <c r="U86" s="292"/>
      <c r="V86" s="292"/>
      <c r="W86" s="292"/>
      <c r="X86" s="292"/>
      <c r="AE86" s="252"/>
      <c r="AF86" s="252"/>
      <c r="AG86" s="252"/>
      <c r="AH86" s="252"/>
      <c r="AI86" s="252"/>
      <c r="AJ86" s="252"/>
      <c r="AK86" s="292"/>
      <c r="AL86" s="292"/>
      <c r="AM86" s="292"/>
      <c r="AN86" s="292"/>
      <c r="AO86" s="292"/>
      <c r="AP86" s="292"/>
      <c r="AQ86" s="292"/>
      <c r="AR86" s="292"/>
      <c r="AS86" s="292"/>
      <c r="AT86" s="292"/>
      <c r="AU86" s="292"/>
      <c r="AV86" s="292"/>
    </row>
    <row r="87" spans="2:48" hidden="1">
      <c r="B87" s="292"/>
      <c r="C87" s="292"/>
      <c r="Q87" s="88"/>
      <c r="R87" s="88"/>
      <c r="S87" s="88"/>
      <c r="T87" s="88"/>
      <c r="U87" s="88"/>
      <c r="V87" s="77"/>
      <c r="W87" s="77"/>
    </row>
    <row r="88" spans="2:48">
      <c r="B88" s="168"/>
      <c r="C88" s="189" t="str">
        <f>R28</f>
        <v/>
      </c>
      <c r="D88" s="189" t="str">
        <f>S28</f>
        <v>b</v>
      </c>
      <c r="E88" s="189"/>
      <c r="F88" s="189" t="str">
        <f>T28</f>
        <v/>
      </c>
      <c r="G88" s="167" t="s">
        <v>135</v>
      </c>
      <c r="H88" s="170" t="s">
        <v>244</v>
      </c>
      <c r="I88" s="170" t="s">
        <v>245</v>
      </c>
      <c r="Q88" s="62"/>
      <c r="R88" s="87"/>
      <c r="S88" s="87"/>
      <c r="T88" s="324">
        <f>IF($C$25=0,"CHECK INPUT DATA",ROUND(O17/(1700*O4*'Input sheet'!Q6*(1-C23/C25)),2))</f>
        <v>0.92</v>
      </c>
      <c r="U88" s="87"/>
      <c r="V88" s="77"/>
      <c r="W88" s="77"/>
    </row>
    <row r="89" spans="2:48">
      <c r="B89" s="188" t="s">
        <v>108</v>
      </c>
      <c r="C89" s="188">
        <f t="shared" ref="C89:F90" si="24">IF($C$25=0,0,IF($AE$67=0,R66,AI47))</f>
        <v>0</v>
      </c>
      <c r="D89" s="188">
        <f t="shared" si="24"/>
        <v>96</v>
      </c>
      <c r="E89" s="188">
        <f t="shared" si="24"/>
        <v>23</v>
      </c>
      <c r="F89" s="188">
        <f t="shared" si="24"/>
        <v>31</v>
      </c>
      <c r="G89" s="190">
        <f>SUM(C89:F89)</f>
        <v>150</v>
      </c>
      <c r="H89" s="191">
        <f>C89+D89</f>
        <v>96</v>
      </c>
      <c r="I89" s="191">
        <f>E89+F89</f>
        <v>54</v>
      </c>
      <c r="Q89" s="47"/>
      <c r="R89" s="87"/>
      <c r="S89" s="87"/>
      <c r="T89" s="87"/>
      <c r="U89" s="87"/>
      <c r="V89" s="77"/>
      <c r="W89" s="77"/>
    </row>
    <row r="90" spans="2:48">
      <c r="B90" s="188" t="s">
        <v>109</v>
      </c>
      <c r="C90" s="188">
        <f t="shared" si="24"/>
        <v>0</v>
      </c>
      <c r="D90" s="188">
        <f t="shared" si="24"/>
        <v>96</v>
      </c>
      <c r="E90" s="188">
        <f t="shared" si="24"/>
        <v>9</v>
      </c>
      <c r="F90" s="188">
        <f t="shared" si="24"/>
        <v>45</v>
      </c>
      <c r="G90" s="190">
        <f>SUM(C90:F90)</f>
        <v>150</v>
      </c>
      <c r="H90" s="191">
        <f>C90+D90</f>
        <v>96</v>
      </c>
      <c r="I90" s="191">
        <f>E90+F90</f>
        <v>54</v>
      </c>
      <c r="T90" s="253">
        <f>IF($C$25=0,"CHECK INPUT DATA",IF(OR(SUM(C9:H9)=0,SUM(I9:N9)=0),0,ROUND(SUMPRODUCT(C9:N9,C47:N47)/O9,2)))</f>
        <v>312.76</v>
      </c>
      <c r="U90" s="158" t="str">
        <f>IF($C$25=0,"CHECK INPUT DATA",IF(T90=0,"N/A",VLOOKUP(T90,'LOS table'!$B$3:$D$8,3)))</f>
        <v>F</v>
      </c>
    </row>
    <row r="92" spans="2:48" hidden="1">
      <c r="C92" s="3">
        <f>IF(C89&lt;Y47,1,0)</f>
        <v>0</v>
      </c>
      <c r="D92" s="210">
        <f>IF(D89&lt;Z47,1,0)</f>
        <v>0</v>
      </c>
      <c r="F92" s="210">
        <f>IF(E89&lt;AA47,1,0)</f>
        <v>0</v>
      </c>
      <c r="G92" s="210">
        <f>IF(F89&lt;AB47,1,0)</f>
        <v>0</v>
      </c>
    </row>
    <row r="93" spans="2:48" hidden="1">
      <c r="C93" s="210">
        <f>IF(C90&lt;Y48,1,0)</f>
        <v>0</v>
      </c>
      <c r="D93" s="210">
        <f>IF(D90&lt;Z48,1,0)</f>
        <v>0</v>
      </c>
      <c r="F93" s="210">
        <f>IF(E90&lt;AA48,1,0)</f>
        <v>0</v>
      </c>
      <c r="G93" s="210">
        <f>IF(F90&lt;AB48,1,0)</f>
        <v>0</v>
      </c>
    </row>
    <row r="94" spans="2:48" hidden="1"/>
    <row r="95" spans="2:48" hidden="1">
      <c r="B95" s="254" t="s">
        <v>76</v>
      </c>
      <c r="C95" s="258" t="s">
        <v>13</v>
      </c>
      <c r="D95" s="258" t="s">
        <v>14</v>
      </c>
      <c r="E95" s="258" t="s">
        <v>15</v>
      </c>
      <c r="F95" s="258" t="s">
        <v>18</v>
      </c>
      <c r="G95" s="258" t="s">
        <v>19</v>
      </c>
      <c r="H95" s="258" t="s">
        <v>20</v>
      </c>
      <c r="I95" s="258" t="s">
        <v>3</v>
      </c>
      <c r="J95" s="258" t="s">
        <v>4</v>
      </c>
      <c r="K95" s="258" t="s">
        <v>5</v>
      </c>
      <c r="L95" s="258" t="s">
        <v>8</v>
      </c>
      <c r="M95" s="258" t="s">
        <v>9</v>
      </c>
      <c r="N95" s="258" t="s">
        <v>10</v>
      </c>
    </row>
    <row r="96" spans="2:48" s="226" customFormat="1" hidden="1">
      <c r="B96" s="300" t="s">
        <v>339</v>
      </c>
      <c r="C96" s="300">
        <f>C38</f>
        <v>25</v>
      </c>
      <c r="D96" s="300">
        <f t="shared" ref="D96:N96" si="25">D38</f>
        <v>27</v>
      </c>
      <c r="E96" s="300">
        <f t="shared" si="25"/>
        <v>27</v>
      </c>
      <c r="F96" s="300">
        <f t="shared" si="25"/>
        <v>52.599999999999994</v>
      </c>
      <c r="G96" s="300">
        <f t="shared" si="25"/>
        <v>41</v>
      </c>
      <c r="H96" s="300">
        <f t="shared" si="25"/>
        <v>41</v>
      </c>
      <c r="I96" s="300">
        <f t="shared" si="25"/>
        <v>92</v>
      </c>
      <c r="J96" s="300">
        <f t="shared" si="25"/>
        <v>92</v>
      </c>
      <c r="K96" s="300">
        <f t="shared" si="25"/>
        <v>92</v>
      </c>
      <c r="L96" s="300">
        <f t="shared" si="25"/>
        <v>92</v>
      </c>
      <c r="M96" s="300">
        <f t="shared" si="25"/>
        <v>92</v>
      </c>
      <c r="N96" s="300">
        <f t="shared" si="25"/>
        <v>92</v>
      </c>
      <c r="P96" s="301"/>
      <c r="AE96" s="302"/>
      <c r="AF96" s="302"/>
      <c r="AG96" s="302"/>
      <c r="AH96" s="302"/>
      <c r="AI96" s="302"/>
      <c r="AJ96" s="302"/>
      <c r="AK96" s="301"/>
      <c r="AL96" s="301"/>
      <c r="AM96" s="301"/>
      <c r="AN96" s="301"/>
      <c r="AO96" s="301"/>
      <c r="AP96" s="301"/>
      <c r="AQ96" s="301"/>
      <c r="AR96" s="301"/>
      <c r="AS96" s="301"/>
      <c r="AT96" s="301"/>
      <c r="AU96" s="301"/>
      <c r="AV96" s="301"/>
    </row>
    <row r="97" spans="2:48" hidden="1">
      <c r="B97" s="247" t="s">
        <v>360</v>
      </c>
      <c r="C97" s="3">
        <f>C3*$C$25/3600</f>
        <v>1.1666666666666667</v>
      </c>
      <c r="E97" s="247"/>
      <c r="F97" s="247">
        <f>F3*$C$25/3600</f>
        <v>33.458333333333336</v>
      </c>
      <c r="G97" s="247"/>
      <c r="I97" s="247">
        <f>I3*$C$25/3600</f>
        <v>0.625</v>
      </c>
      <c r="L97" s="247">
        <f>L3*$C$25/3600</f>
        <v>5.166666666666667</v>
      </c>
    </row>
    <row r="98" spans="2:48" hidden="1">
      <c r="B98" s="247" t="s">
        <v>359</v>
      </c>
      <c r="C98" s="3">
        <f>MAX(C96*EXP(-0.86*(C97^0.629)-C79),0)</f>
        <v>1.3116856554829195</v>
      </c>
      <c r="F98" s="247">
        <f>MAX(F96*EXP(-0.86*(F97^0.629)-F79),0)</f>
        <v>2.10474826169431E-2</v>
      </c>
      <c r="I98" s="247">
        <f>MAX(I96*EXP(-0.86*(I97^0.629)-I79),0)</f>
        <v>6.5659429657921686</v>
      </c>
      <c r="L98" s="247">
        <f>MAX(L96*EXP(-0.86*(L97^0.629)-L79),0)</f>
        <v>1.11151949482469</v>
      </c>
    </row>
    <row r="99" spans="2:48" hidden="1">
      <c r="B99" s="247" t="s">
        <v>361</v>
      </c>
      <c r="C99" s="247">
        <f>MAX(C96*EXP(-0.882*(C97^0.717)-C79),0)</f>
        <v>1.2633924411259869</v>
      </c>
      <c r="F99" s="247">
        <f>MAX(F96*EXP(-0.882*(F97^0.717)-F79),0)</f>
        <v>9.441546485828568E-4</v>
      </c>
      <c r="I99" s="247">
        <f>MAX(I96*EXP(-0.882*(I97^0.717)-I79),0)</f>
        <v>6.6333922309676314</v>
      </c>
      <c r="L99" s="247">
        <f>MAX(L96*EXP(-0.882*(L97^0.717)-L79),0)</f>
        <v>0.71081896353803575</v>
      </c>
    </row>
    <row r="100" spans="2:48" hidden="1">
      <c r="B100" s="247" t="s">
        <v>358</v>
      </c>
      <c r="C100" s="3">
        <f>IF(SUM(C6:E6)=1,C98,C99)</f>
        <v>1.2633924411259869</v>
      </c>
      <c r="F100" s="247">
        <f>IF(SUM(F6:H6)=1,F98,F99)</f>
        <v>9.441546485828568E-4</v>
      </c>
      <c r="I100" s="247">
        <f>IF(SUM(I6:K6)=1,I98,I99)</f>
        <v>6.6333922309676314</v>
      </c>
      <c r="L100" s="247">
        <f>IF(SUM(L6:N6)=1,L98,L99)</f>
        <v>0.71081896353803575</v>
      </c>
    </row>
    <row r="101" spans="2:48" hidden="1"/>
    <row r="102" spans="2:48" s="247" customFormat="1" hidden="1">
      <c r="B102" s="257" t="s">
        <v>367</v>
      </c>
      <c r="C102" s="257">
        <f>MAX(0,ROUND(C6*(C69+C35-1)*C11/$C$25,0))</f>
        <v>52</v>
      </c>
      <c r="D102" s="257"/>
      <c r="E102" s="257"/>
      <c r="F102" s="257">
        <f>MAX(0,ROUND(F6*(F69+F35-1)*F11/$C$25,0))</f>
        <v>183</v>
      </c>
      <c r="G102" s="257"/>
      <c r="H102" s="257"/>
      <c r="I102" s="257">
        <f>MAX(0,ROUND(I6*(I69+I35-1)*I11/$C$25,0))</f>
        <v>0</v>
      </c>
      <c r="J102" s="257"/>
      <c r="K102" s="257"/>
      <c r="L102" s="257">
        <f>MAX(0,ROUND(L6*(L69+L35-1)*L11/$C$25,0))</f>
        <v>0</v>
      </c>
      <c r="P102" s="292"/>
      <c r="AE102" s="252"/>
      <c r="AF102" s="252"/>
      <c r="AG102" s="252"/>
      <c r="AH102" s="252"/>
      <c r="AI102" s="252"/>
      <c r="AJ102" s="252"/>
      <c r="AK102" s="292"/>
      <c r="AL102" s="292"/>
      <c r="AM102" s="292"/>
      <c r="AN102" s="292"/>
      <c r="AO102" s="292"/>
      <c r="AP102" s="292"/>
      <c r="AQ102" s="292"/>
      <c r="AR102" s="292"/>
      <c r="AS102" s="292"/>
      <c r="AT102" s="292"/>
      <c r="AU102" s="292"/>
      <c r="AV102" s="292"/>
    </row>
    <row r="103" spans="2:48" hidden="1">
      <c r="B103" s="257" t="s">
        <v>362</v>
      </c>
      <c r="C103" s="257">
        <f>ROUND(((MIN(C83-C100,C82)*C14+7200)/$C$25)*C6,0)</f>
        <v>58</v>
      </c>
      <c r="D103" s="257"/>
      <c r="E103" s="257"/>
      <c r="F103" s="257">
        <f>ROUND(((MIN(F83-F100,F82)*F14+7200)/$C$25)*F6,0)</f>
        <v>64</v>
      </c>
      <c r="G103" s="257"/>
      <c r="H103" s="257"/>
      <c r="I103" s="257">
        <f>ROUND(((MIN(I83-I100,I82)*I14+7200)/$C$25)*I6,0)</f>
        <v>54</v>
      </c>
      <c r="J103" s="257"/>
      <c r="K103" s="257"/>
      <c r="L103" s="257">
        <f>ROUND(((MIN(L83-L100,L82)*L14+7200)/$C$25)*L6,0)</f>
        <v>58</v>
      </c>
    </row>
    <row r="104" spans="2:48" hidden="1">
      <c r="B104" s="247" t="s">
        <v>363</v>
      </c>
      <c r="C104" s="3">
        <f>IF(C14=0,0,$S$2/C14)</f>
        <v>2.2485207100591715</v>
      </c>
      <c r="F104" s="247">
        <f>IF(F14=0,0,$S$2/F14)</f>
        <v>1.4694508894044858</v>
      </c>
      <c r="I104" s="247">
        <f>IF(I14=0,0,$S$2/I14)</f>
        <v>5.177111716621253</v>
      </c>
      <c r="L104" s="247">
        <f>IF(L14=0,0,$S$2/L14)</f>
        <v>3.0206677265500796</v>
      </c>
    </row>
    <row r="105" spans="2:48" hidden="1">
      <c r="B105" s="247" t="s">
        <v>364</v>
      </c>
      <c r="C105" s="3">
        <f>MAX(0,0.5*(C83-C82-C100))</f>
        <v>11.018303779437005</v>
      </c>
      <c r="F105" s="247">
        <f>MAX(0,0.5*(F83-F82-F100))</f>
        <v>12.749527922675709</v>
      </c>
      <c r="I105" s="247">
        <f>MAX(0,0.5*(I83-I82-I100))</f>
        <v>40.783303884516179</v>
      </c>
      <c r="L105" s="247">
        <f>MAX(0,0.5*(L83-L82-L100))</f>
        <v>43.744590518230979</v>
      </c>
    </row>
    <row r="106" spans="2:48" hidden="1">
      <c r="B106" s="247" t="s">
        <v>366</v>
      </c>
      <c r="C106" s="3">
        <f>IF(SUM(F3:H3)=0,0,F3/SUM(F3:H3))</f>
        <v>0.58870967741935487</v>
      </c>
      <c r="F106" s="247">
        <f>IF(SUM(C3:E3)=0,0,C3/SUM(C3:E3))</f>
        <v>0.224</v>
      </c>
      <c r="I106" s="247">
        <f>IF(SUM(L3:N3)=0,0,L3/SUM(L3:N3))</f>
        <v>7.9031230082855328E-2</v>
      </c>
      <c r="L106" s="247">
        <f>IF(SUM(I3:K3)=0,0,I3/SUM(I3:K3))</f>
        <v>1.6778523489932886E-2</v>
      </c>
    </row>
    <row r="107" spans="2:48" hidden="1">
      <c r="B107" s="247" t="s">
        <v>365</v>
      </c>
      <c r="C107" s="3">
        <f>IF(C106=0,0,MAX(1,(1-(1-C106)^C105)/C106))</f>
        <v>1.6985349298100929</v>
      </c>
      <c r="F107" s="247">
        <f>IF(F106=0,0,MAX(1,(1-(1-F106)^F105)/F106))</f>
        <v>4.2882742639698437</v>
      </c>
      <c r="I107" s="247">
        <f>IF(I106=0,0,MAX(1,(1-(1-I106)^I105)/I106))</f>
        <v>12.212680790092087</v>
      </c>
      <c r="L107" s="247">
        <f>IF(L106=0,0,MAX(1,(1-(1-L106)^L105)/L106))</f>
        <v>31.169607905749167</v>
      </c>
    </row>
    <row r="108" spans="2:48" hidden="1">
      <c r="B108" s="247" t="s">
        <v>369</v>
      </c>
      <c r="C108" s="3">
        <f>IF(SUM(C3:E3)=0,0,C3/SUM(C3:E3))</f>
        <v>0.224</v>
      </c>
      <c r="F108" s="247">
        <f>IF(SUM(F3:H3)=0,0,F3/SUM(F3:H3))</f>
        <v>0.58870967741935487</v>
      </c>
      <c r="I108" s="247">
        <f>IF(SUM(I3:K3)=0,0,I3/SUM(I3:K3))</f>
        <v>1.6778523489932886E-2</v>
      </c>
      <c r="L108" s="247">
        <f>IF(SUM(L3:N3)=0,0,L3/SUM(L3:N3))</f>
        <v>7.9031230082855328E-2</v>
      </c>
    </row>
    <row r="109" spans="2:48" hidden="1">
      <c r="B109" s="257" t="s">
        <v>368</v>
      </c>
      <c r="C109" s="257">
        <f>ROUND((C83*C14+3600*(1+C108))/$C$25,0)</f>
        <v>170</v>
      </c>
      <c r="D109" s="257"/>
      <c r="E109" s="257"/>
      <c r="F109" s="257">
        <f>ROUND((F83*F14+3600*(1+F108))/$C$25,0)</f>
        <v>273</v>
      </c>
      <c r="G109" s="257"/>
      <c r="H109" s="257"/>
      <c r="I109" s="257">
        <f>ROUND((I83*I14+3600*(1+I108))/$C$25,0)</f>
        <v>246</v>
      </c>
      <c r="J109" s="257"/>
      <c r="K109" s="257"/>
      <c r="L109" s="257">
        <f>ROUND((L83*L14+3600*(1+L108))/$C$25,0)</f>
        <v>405</v>
      </c>
    </row>
    <row r="110" spans="2:48" hidden="1">
      <c r="B110" s="257" t="s">
        <v>370</v>
      </c>
      <c r="C110" s="257">
        <f>MAX(0,ROUND(((C69+C35-1)*C11/$C$25+(MIN(C83-C100,C82)*C14+7200)/$C$25)*C6,0))</f>
        <v>109</v>
      </c>
      <c r="D110" s="257"/>
      <c r="E110" s="257"/>
      <c r="F110" s="257">
        <f>MAX(0,ROUND(((F69+F35-1)*F11/$C$25+(MIN(F83-F100,F82)*F14+7200)/$C$25)*F6,0))</f>
        <v>247</v>
      </c>
      <c r="G110" s="257"/>
      <c r="H110" s="257"/>
      <c r="I110" s="257">
        <f>MAX(0,ROUND(((I69+I35-1)*I11/$C$25+(MIN(I83-I100,I82)*I14+7200)/$C$25)*I6,0))</f>
        <v>54</v>
      </c>
      <c r="J110" s="257"/>
      <c r="K110" s="257"/>
      <c r="L110" s="257">
        <f>MAX(0,ROUND(((L69+L35-1)*L11/$C$25+(MIN(L83-L100,L82)*L14+7200)/$C$25)*L6,0))</f>
        <v>58</v>
      </c>
    </row>
    <row r="111" spans="2:48" hidden="1"/>
    <row r="112" spans="2:48" hidden="1">
      <c r="C112" s="508" t="s">
        <v>493</v>
      </c>
      <c r="D112" s="508"/>
      <c r="E112" s="508"/>
    </row>
    <row r="113" spans="3:5" hidden="1">
      <c r="C113" s="3">
        <v>0</v>
      </c>
      <c r="D113" s="3">
        <v>0.55000000000000004</v>
      </c>
      <c r="E113" s="415" t="s">
        <v>145</v>
      </c>
    </row>
    <row r="114" spans="3:5" hidden="1">
      <c r="C114" s="3">
        <v>0.56000000000000005</v>
      </c>
      <c r="D114" s="3">
        <v>0.64</v>
      </c>
      <c r="E114" s="415" t="s">
        <v>146</v>
      </c>
    </row>
    <row r="115" spans="3:5" hidden="1">
      <c r="C115" s="3">
        <v>0.65</v>
      </c>
      <c r="D115" s="3">
        <v>0.73</v>
      </c>
      <c r="E115" s="415" t="s">
        <v>147</v>
      </c>
    </row>
    <row r="116" spans="3:5" hidden="1">
      <c r="C116" s="3">
        <v>0.74</v>
      </c>
      <c r="D116" s="3">
        <v>0.82</v>
      </c>
      <c r="E116" s="415" t="s">
        <v>148</v>
      </c>
    </row>
    <row r="117" spans="3:5" hidden="1">
      <c r="C117" s="3">
        <v>0.83</v>
      </c>
      <c r="D117" s="3">
        <v>0.91</v>
      </c>
      <c r="E117" s="415" t="s">
        <v>149</v>
      </c>
    </row>
    <row r="118" spans="3:5" hidden="1">
      <c r="C118" s="3">
        <v>0.92</v>
      </c>
      <c r="D118" s="3">
        <v>1</v>
      </c>
      <c r="E118" s="415" t="s">
        <v>150</v>
      </c>
    </row>
    <row r="119" spans="3:5" hidden="1">
      <c r="C119" s="3">
        <v>1.01</v>
      </c>
      <c r="D119" s="3">
        <v>1.0900000000000001</v>
      </c>
      <c r="E119" s="415" t="s">
        <v>491</v>
      </c>
    </row>
    <row r="120" spans="3:5" hidden="1">
      <c r="C120" s="3">
        <v>1.1000000000000001</v>
      </c>
      <c r="D120" s="3">
        <v>5</v>
      </c>
      <c r="E120" s="415" t="s">
        <v>492</v>
      </c>
    </row>
  </sheetData>
  <mergeCells count="40">
    <mergeCell ref="AZ38:BB38"/>
    <mergeCell ref="C50:E50"/>
    <mergeCell ref="F50:H50"/>
    <mergeCell ref="I50:K50"/>
    <mergeCell ref="L50:N50"/>
    <mergeCell ref="C49:E49"/>
    <mergeCell ref="F49:H49"/>
    <mergeCell ref="I49:K49"/>
    <mergeCell ref="L49:N49"/>
    <mergeCell ref="Y46:AB46"/>
    <mergeCell ref="Z21:AA21"/>
    <mergeCell ref="AB21:AC21"/>
    <mergeCell ref="AQ38:AS38"/>
    <mergeCell ref="AT38:AV38"/>
    <mergeCell ref="AW38:AY38"/>
    <mergeCell ref="AP33:AP34"/>
    <mergeCell ref="AP35:AP36"/>
    <mergeCell ref="Y1:AC1"/>
    <mergeCell ref="Z19:AA19"/>
    <mergeCell ref="AB19:AC19"/>
    <mergeCell ref="Z20:AA20"/>
    <mergeCell ref="AB20:AC20"/>
    <mergeCell ref="B1:D1"/>
    <mergeCell ref="R6:R10"/>
    <mergeCell ref="R27:U27"/>
    <mergeCell ref="C17:E17"/>
    <mergeCell ref="F17:H17"/>
    <mergeCell ref="I17:K17"/>
    <mergeCell ref="L17:N17"/>
    <mergeCell ref="D24:E24"/>
    <mergeCell ref="C112:E112"/>
    <mergeCell ref="F62:G62"/>
    <mergeCell ref="I62:J62"/>
    <mergeCell ref="L62:M62"/>
    <mergeCell ref="R18:R19"/>
    <mergeCell ref="C55:D55"/>
    <mergeCell ref="C56:D56"/>
    <mergeCell ref="C57:D57"/>
    <mergeCell ref="C58:D58"/>
    <mergeCell ref="C62:D62"/>
  </mergeCells>
  <conditionalFormatting sqref="D24:E24">
    <cfRule type="containsText" dxfId="25" priority="29" stopIfTrue="1" operator="containsText" text="CS/RS">
      <formula>NOT(ISERROR(SEARCH("CS/RS",D24)))</formula>
    </cfRule>
    <cfRule type="containsText" dxfId="24" priority="30" stopIfTrue="1" operator="containsText" text="Webster">
      <formula>NOT(ISERROR(SEARCH("Webster",D24)))</formula>
    </cfRule>
  </conditionalFormatting>
  <conditionalFormatting sqref="E48:E59 C59:D59 M48:N59 O49:O59 C56 I48:L54 I56:L59 C48:D54 H48:H59 F48:G54 F57:F59 G55:G59 D51:N51">
    <cfRule type="containsText" dxfId="23" priority="4" stopIfTrue="1" operator="containsText" text="N/A">
      <formula>NOT(ISERROR(SEARCH("N/A",C48)))</formula>
    </cfRule>
    <cfRule type="containsText" dxfId="22" priority="23" stopIfTrue="1" operator="containsText" text="F">
      <formula>NOT(ISERROR(SEARCH("F",C48)))</formula>
    </cfRule>
    <cfRule type="containsText" dxfId="21" priority="24" stopIfTrue="1" operator="containsText" text="E">
      <formula>NOT(ISERROR(SEARCH("E",C48)))</formula>
    </cfRule>
    <cfRule type="containsText" dxfId="20" priority="25" stopIfTrue="1" operator="containsText" text="D">
      <formula>NOT(ISERROR(SEARCH("D",C48)))</formula>
    </cfRule>
    <cfRule type="containsText" dxfId="19" priority="26" stopIfTrue="1" operator="containsText" text="C">
      <formula>NOT(ISERROR(SEARCH("C",C48)))</formula>
    </cfRule>
    <cfRule type="containsText" dxfId="18" priority="27" stopIfTrue="1" operator="containsText" text="B">
      <formula>NOT(ISERROR(SEARCH("B",C48)))</formula>
    </cfRule>
    <cfRule type="containsText" dxfId="17" priority="28" stopIfTrue="1" operator="containsText" text="A">
      <formula>NOT(ISERROR(SEARCH("A",C48)))</formula>
    </cfRule>
  </conditionalFormatting>
  <conditionalFormatting sqref="C92:H93">
    <cfRule type="cellIs" dxfId="16" priority="3" stopIfTrue="1" operator="equal">
      <formula>1</formula>
    </cfRule>
  </conditionalFormatting>
  <conditionalFormatting sqref="G56">
    <cfRule type="containsText" dxfId="15" priority="1" operator="containsText" text="H">
      <formula>NOT(ISERROR(SEARCH("H",G56)))</formula>
    </cfRule>
    <cfRule type="containsText" dxfId="14" priority="2" operator="containsText" text="G">
      <formula>NOT(ISERROR(SEARCH("G",G56)))</formula>
    </cfRule>
  </conditionalFormatting>
  <pageMargins left="0.7" right="0.7" top="0.75" bottom="0.75" header="0.3" footer="0.3"/>
  <pageSetup orientation="portrait" r:id="rId1"/>
  <ignoredErrors>
    <ignoredError sqref="F14 I14 L14" formula="1"/>
  </ignoredErrors>
</worksheet>
</file>

<file path=xl/worksheets/sheet6.xml><?xml version="1.0" encoding="utf-8"?>
<worksheet xmlns="http://schemas.openxmlformats.org/spreadsheetml/2006/main" xmlns:r="http://schemas.openxmlformats.org/officeDocument/2006/relationships">
  <sheetPr codeName="Sheet6"/>
  <dimension ref="A3:N18"/>
  <sheetViews>
    <sheetView workbookViewId="0">
      <selection activeCell="C5" sqref="C5"/>
    </sheetView>
  </sheetViews>
  <sheetFormatPr defaultRowHeight="15"/>
  <cols>
    <col min="2" max="2" width="9.140625" style="3"/>
    <col min="3" max="3" width="9.140625" style="320"/>
  </cols>
  <sheetData>
    <row r="3" spans="1:14">
      <c r="D3" s="508" t="s">
        <v>119</v>
      </c>
      <c r="E3" s="508"/>
      <c r="F3" s="508"/>
      <c r="G3" s="508"/>
      <c r="H3" s="508"/>
      <c r="I3" s="508"/>
      <c r="J3" s="508"/>
      <c r="K3" s="508"/>
      <c r="L3" s="508" t="s">
        <v>120</v>
      </c>
      <c r="M3" s="508"/>
      <c r="N3" s="508"/>
    </row>
    <row r="4" spans="1:14">
      <c r="D4" s="508" t="s">
        <v>121</v>
      </c>
      <c r="E4" s="508"/>
      <c r="F4" s="508"/>
      <c r="G4" s="508"/>
      <c r="H4" s="508"/>
      <c r="I4" s="508"/>
      <c r="J4" s="508"/>
      <c r="K4" s="508"/>
    </row>
    <row r="5" spans="1:14" ht="45">
      <c r="B5" s="63" t="s">
        <v>122</v>
      </c>
      <c r="C5" s="384">
        <v>40</v>
      </c>
      <c r="D5" s="64">
        <v>50</v>
      </c>
      <c r="E5" s="64">
        <v>60</v>
      </c>
      <c r="F5" s="64">
        <v>70</v>
      </c>
      <c r="G5" s="64">
        <v>80</v>
      </c>
      <c r="H5" s="64">
        <v>90</v>
      </c>
      <c r="I5" s="64">
        <v>100</v>
      </c>
      <c r="J5" s="64">
        <v>110</v>
      </c>
      <c r="K5" s="64">
        <v>120</v>
      </c>
      <c r="L5" s="64">
        <v>130</v>
      </c>
      <c r="M5" s="64">
        <v>140</v>
      </c>
      <c r="N5" s="64">
        <v>150</v>
      </c>
    </row>
    <row r="6" spans="1:14">
      <c r="B6" s="3" t="s">
        <v>123</v>
      </c>
      <c r="D6" s="508" t="s">
        <v>124</v>
      </c>
      <c r="E6" s="508"/>
      <c r="F6" s="508"/>
      <c r="G6" s="508"/>
      <c r="H6" s="508"/>
      <c r="I6" s="508"/>
      <c r="J6" s="508"/>
      <c r="K6" s="508"/>
    </row>
    <row r="7" spans="1:14">
      <c r="A7" s="526" t="s">
        <v>136</v>
      </c>
      <c r="B7" s="65">
        <v>0</v>
      </c>
      <c r="C7" s="65">
        <v>5</v>
      </c>
      <c r="D7" s="65">
        <v>5</v>
      </c>
      <c r="E7" s="65">
        <v>5</v>
      </c>
      <c r="F7" s="65">
        <v>5</v>
      </c>
      <c r="G7" s="65">
        <v>5</v>
      </c>
      <c r="H7" s="65">
        <v>5</v>
      </c>
      <c r="I7" s="65">
        <v>5</v>
      </c>
      <c r="J7" s="65">
        <v>5</v>
      </c>
      <c r="K7" s="65">
        <v>5</v>
      </c>
      <c r="L7" s="65">
        <v>5</v>
      </c>
      <c r="M7" s="65">
        <v>5</v>
      </c>
      <c r="N7" s="65">
        <v>5</v>
      </c>
    </row>
    <row r="8" spans="1:14">
      <c r="A8" s="526"/>
      <c r="B8" s="65">
        <v>50</v>
      </c>
      <c r="C8" s="65">
        <v>7</v>
      </c>
      <c r="D8" s="65">
        <v>7</v>
      </c>
      <c r="E8" s="65">
        <v>7</v>
      </c>
      <c r="F8" s="65">
        <v>7</v>
      </c>
      <c r="G8" s="65">
        <v>7</v>
      </c>
      <c r="H8" s="65">
        <v>7</v>
      </c>
      <c r="I8" s="65">
        <v>7</v>
      </c>
      <c r="J8" s="65">
        <v>7</v>
      </c>
      <c r="K8" s="65">
        <v>7</v>
      </c>
      <c r="L8" s="65">
        <v>7</v>
      </c>
      <c r="M8" s="65">
        <v>7</v>
      </c>
      <c r="N8" s="65">
        <v>7</v>
      </c>
    </row>
    <row r="9" spans="1:14">
      <c r="B9" s="3">
        <v>100</v>
      </c>
      <c r="C9" s="320">
        <v>15</v>
      </c>
      <c r="D9" s="3">
        <v>15</v>
      </c>
      <c r="E9" s="3">
        <v>15</v>
      </c>
      <c r="F9" s="3">
        <v>15</v>
      </c>
      <c r="G9" s="3">
        <v>15</v>
      </c>
      <c r="H9" s="3">
        <v>15</v>
      </c>
      <c r="I9" s="3">
        <v>15</v>
      </c>
      <c r="J9" s="3">
        <v>15</v>
      </c>
      <c r="K9" s="3">
        <v>15</v>
      </c>
      <c r="L9" s="3">
        <v>15</v>
      </c>
      <c r="M9" s="3">
        <v>15</v>
      </c>
      <c r="N9" s="3">
        <v>15</v>
      </c>
    </row>
    <row r="10" spans="1:14">
      <c r="B10" s="3">
        <v>200</v>
      </c>
      <c r="C10" s="320">
        <v>15</v>
      </c>
      <c r="D10" s="3">
        <v>15</v>
      </c>
      <c r="E10" s="3">
        <v>15</v>
      </c>
      <c r="F10" s="3">
        <v>15</v>
      </c>
      <c r="G10" s="3">
        <v>15</v>
      </c>
      <c r="H10" s="3">
        <v>16</v>
      </c>
      <c r="I10" s="3">
        <v>18</v>
      </c>
      <c r="J10" s="3">
        <v>19</v>
      </c>
      <c r="K10" s="3">
        <v>21</v>
      </c>
      <c r="L10" s="3">
        <f>ROUND(0.18*L5,0)</f>
        <v>23</v>
      </c>
      <c r="M10" s="3">
        <f>ROUND(0.18*M5,0)</f>
        <v>25</v>
      </c>
      <c r="N10" s="3">
        <f>ROUND(0.18*N5,0)</f>
        <v>27</v>
      </c>
    </row>
    <row r="11" spans="1:14">
      <c r="B11" s="3">
        <v>300</v>
      </c>
      <c r="C11" s="320">
        <v>15</v>
      </c>
      <c r="D11" s="3">
        <v>15</v>
      </c>
      <c r="E11" s="3">
        <v>16</v>
      </c>
      <c r="F11" s="3">
        <v>19</v>
      </c>
      <c r="G11" s="3">
        <v>21</v>
      </c>
      <c r="H11" s="3">
        <v>24</v>
      </c>
      <c r="I11" s="3">
        <v>26</v>
      </c>
      <c r="J11" s="3">
        <v>29</v>
      </c>
      <c r="K11" s="3">
        <v>31</v>
      </c>
      <c r="L11" s="3">
        <f>ROUND(0.26*L5,0)</f>
        <v>34</v>
      </c>
      <c r="M11" s="3">
        <f>ROUND(0.26*M5,0)</f>
        <v>36</v>
      </c>
      <c r="N11" s="3">
        <f>ROUND(0.26*N5,0)</f>
        <v>39</v>
      </c>
    </row>
    <row r="12" spans="1:14">
      <c r="B12" s="3">
        <v>400</v>
      </c>
      <c r="C12" s="320">
        <v>17</v>
      </c>
      <c r="D12" s="3">
        <v>18</v>
      </c>
      <c r="E12" s="3">
        <v>21</v>
      </c>
      <c r="F12" s="3">
        <v>24</v>
      </c>
      <c r="G12" s="3">
        <v>28</v>
      </c>
      <c r="H12" s="3">
        <v>31</v>
      </c>
      <c r="I12" s="3">
        <v>34</v>
      </c>
      <c r="J12" s="3">
        <v>38</v>
      </c>
      <c r="K12" s="3">
        <v>41</v>
      </c>
      <c r="L12" s="3">
        <f>ROUND(0.34*L5,0)</f>
        <v>44</v>
      </c>
      <c r="M12" s="3">
        <f>ROUND(0.34*M5,0)</f>
        <v>48</v>
      </c>
      <c r="N12" s="3">
        <f>ROUND(0.34*N5,0)</f>
        <v>51</v>
      </c>
    </row>
    <row r="13" spans="1:14">
      <c r="B13" s="3">
        <v>500</v>
      </c>
      <c r="C13" s="320">
        <v>19</v>
      </c>
      <c r="D13" s="3">
        <v>22</v>
      </c>
      <c r="E13" s="3">
        <v>26</v>
      </c>
      <c r="F13" s="3">
        <v>30</v>
      </c>
      <c r="G13" s="3">
        <v>34</v>
      </c>
      <c r="H13" s="3">
        <v>39</v>
      </c>
      <c r="I13" s="3">
        <v>43</v>
      </c>
      <c r="J13" s="3">
        <v>47</v>
      </c>
      <c r="K13" s="3">
        <v>51</v>
      </c>
      <c r="L13" s="3">
        <f>ROUND(0.43*L5,0)</f>
        <v>56</v>
      </c>
      <c r="M13" s="3">
        <f>ROUND(0.43*M5,0)</f>
        <v>60</v>
      </c>
      <c r="N13" s="3">
        <f>ROUND(0.43*N5,0)</f>
        <v>65</v>
      </c>
    </row>
    <row r="14" spans="1:14">
      <c r="B14" s="3">
        <v>600</v>
      </c>
      <c r="C14" s="320">
        <v>23</v>
      </c>
      <c r="D14" s="3">
        <v>26</v>
      </c>
      <c r="E14" s="3">
        <v>31</v>
      </c>
      <c r="F14" s="3">
        <v>36</v>
      </c>
      <c r="G14" s="3">
        <v>41</v>
      </c>
      <c r="H14" s="3">
        <v>46</v>
      </c>
      <c r="I14" s="3">
        <v>51</v>
      </c>
      <c r="J14" s="3">
        <v>56</v>
      </c>
      <c r="K14" s="3">
        <v>61</v>
      </c>
      <c r="L14" s="3">
        <f>ROUND(0.51*L5,0)</f>
        <v>66</v>
      </c>
      <c r="M14" s="3">
        <f>ROUND(0.51*M5,0)</f>
        <v>71</v>
      </c>
      <c r="N14" s="3">
        <f>ROUND(0.51*N5,0)</f>
        <v>77</v>
      </c>
    </row>
    <row r="15" spans="1:14">
      <c r="B15" s="3">
        <v>700</v>
      </c>
      <c r="C15" s="320">
        <v>27</v>
      </c>
      <c r="D15" s="3">
        <v>30</v>
      </c>
      <c r="E15" s="3">
        <v>36</v>
      </c>
      <c r="F15" s="3">
        <v>42</v>
      </c>
      <c r="G15" s="3">
        <v>48</v>
      </c>
      <c r="H15" s="3">
        <v>54</v>
      </c>
      <c r="I15" s="3">
        <v>59</v>
      </c>
      <c r="J15" s="3">
        <v>65</v>
      </c>
      <c r="K15" s="3">
        <v>71</v>
      </c>
      <c r="L15" s="3">
        <f>ROUND(0.6*L5,0)</f>
        <v>78</v>
      </c>
      <c r="M15" s="3">
        <f>ROUND(0.6*M5,0)</f>
        <v>84</v>
      </c>
      <c r="N15" s="3">
        <f>ROUND(0.6*N5,0)</f>
        <v>90</v>
      </c>
    </row>
    <row r="16" spans="1:14">
      <c r="B16" s="3">
        <v>800</v>
      </c>
      <c r="C16" s="320">
        <v>30</v>
      </c>
      <c r="D16" s="3">
        <v>34</v>
      </c>
      <c r="E16" s="3">
        <v>41</v>
      </c>
      <c r="F16" s="3">
        <v>48</v>
      </c>
      <c r="G16" s="3">
        <v>54</v>
      </c>
      <c r="H16" s="3">
        <v>61</v>
      </c>
      <c r="I16" s="3">
        <v>68</v>
      </c>
      <c r="J16" s="3">
        <v>74</v>
      </c>
      <c r="K16" s="3">
        <v>81</v>
      </c>
      <c r="L16" s="3">
        <f>ROUND(0.68*L5,0)</f>
        <v>88</v>
      </c>
      <c r="M16" s="3">
        <f>ROUND(0.68*M5,0)</f>
        <v>95</v>
      </c>
      <c r="N16" s="3">
        <f>ROUND(0.68*N5,0)</f>
        <v>102</v>
      </c>
    </row>
    <row r="18" spans="3:14">
      <c r="C18" s="3">
        <v>1</v>
      </c>
      <c r="D18" s="3">
        <v>2</v>
      </c>
      <c r="E18" s="3">
        <v>3</v>
      </c>
      <c r="F18" s="3">
        <v>4</v>
      </c>
      <c r="G18" s="3">
        <v>5</v>
      </c>
      <c r="H18" s="3">
        <v>6</v>
      </c>
      <c r="I18" s="3">
        <v>7</v>
      </c>
      <c r="J18" s="3">
        <v>8</v>
      </c>
      <c r="K18" s="3">
        <v>9</v>
      </c>
      <c r="L18" s="3">
        <v>10</v>
      </c>
      <c r="M18" s="3">
        <v>11</v>
      </c>
      <c r="N18" s="320">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7"/>
  <dimension ref="B2:D8"/>
  <sheetViews>
    <sheetView workbookViewId="0">
      <selection sqref="A1:IV65536"/>
    </sheetView>
  </sheetViews>
  <sheetFormatPr defaultRowHeight="15"/>
  <sheetData>
    <row r="2" spans="2:4">
      <c r="B2" s="89" t="s">
        <v>143</v>
      </c>
      <c r="C2" s="89" t="s">
        <v>144</v>
      </c>
      <c r="D2" s="89" t="s">
        <v>142</v>
      </c>
    </row>
    <row r="3" spans="2:4">
      <c r="B3" s="74">
        <v>0</v>
      </c>
      <c r="C3" s="74">
        <v>10</v>
      </c>
      <c r="D3" s="89" t="s">
        <v>145</v>
      </c>
    </row>
    <row r="4" spans="2:4">
      <c r="B4" s="74">
        <v>10.1</v>
      </c>
      <c r="C4" s="74">
        <v>20</v>
      </c>
      <c r="D4" s="89" t="s">
        <v>146</v>
      </c>
    </row>
    <row r="5" spans="2:4">
      <c r="B5" s="74">
        <v>20.100000000000001</v>
      </c>
      <c r="C5" s="74">
        <v>35</v>
      </c>
      <c r="D5" s="89" t="s">
        <v>147</v>
      </c>
    </row>
    <row r="6" spans="2:4">
      <c r="B6" s="74">
        <v>35.1</v>
      </c>
      <c r="C6" s="74">
        <v>55</v>
      </c>
      <c r="D6" s="89" t="s">
        <v>148</v>
      </c>
    </row>
    <row r="7" spans="2:4">
      <c r="B7" s="74">
        <v>55.1</v>
      </c>
      <c r="C7" s="74">
        <v>80</v>
      </c>
      <c r="D7" s="89" t="s">
        <v>149</v>
      </c>
    </row>
    <row r="8" spans="2:4">
      <c r="B8" s="74">
        <v>80.099999999999994</v>
      </c>
      <c r="C8" s="74">
        <v>2000</v>
      </c>
      <c r="D8" s="89" t="s">
        <v>150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9"/>
  <dimension ref="A1:Z52"/>
  <sheetViews>
    <sheetView topLeftCell="A28" zoomScale="80" zoomScaleNormal="80" workbookViewId="0">
      <selection activeCell="L28" sqref="L28"/>
    </sheetView>
  </sheetViews>
  <sheetFormatPr defaultRowHeight="15"/>
  <cols>
    <col min="1" max="1" width="9.140625" style="200"/>
    <col min="2" max="2" width="18.28515625" style="200" bestFit="1" customWidth="1"/>
    <col min="3" max="11" width="9.140625" style="200"/>
    <col min="12" max="13" width="9.140625" style="200" customWidth="1"/>
    <col min="14" max="14" width="15.5703125" style="200" hidden="1" customWidth="1"/>
    <col min="15" max="22" width="9.140625" style="200" hidden="1" customWidth="1"/>
    <col min="23" max="27" width="9.140625" style="200" customWidth="1"/>
    <col min="28" max="16384" width="9.140625" style="200"/>
  </cols>
  <sheetData>
    <row r="1" spans="2:26" s="202" customFormat="1" hidden="1">
      <c r="D1" s="202">
        <v>111</v>
      </c>
      <c r="E1" s="202">
        <v>112</v>
      </c>
      <c r="F1" s="202">
        <v>212</v>
      </c>
      <c r="G1" s="202">
        <v>211</v>
      </c>
      <c r="H1" s="202">
        <v>121</v>
      </c>
      <c r="I1" s="202">
        <v>122</v>
      </c>
      <c r="J1" s="202">
        <v>221</v>
      </c>
      <c r="K1" s="202">
        <v>222</v>
      </c>
    </row>
    <row r="2" spans="2:26" hidden="1">
      <c r="B2" s="203" t="s">
        <v>127</v>
      </c>
      <c r="D2" s="200">
        <v>1</v>
      </c>
      <c r="E2" s="200">
        <v>2</v>
      </c>
      <c r="F2" s="200">
        <v>3</v>
      </c>
      <c r="G2" s="200">
        <v>4</v>
      </c>
      <c r="H2" s="200">
        <v>5</v>
      </c>
      <c r="I2" s="200">
        <v>6</v>
      </c>
      <c r="J2" s="200">
        <v>7</v>
      </c>
      <c r="K2" s="200">
        <v>8</v>
      </c>
      <c r="N2" s="200" t="s">
        <v>281</v>
      </c>
      <c r="O2" s="66" t="s">
        <v>13</v>
      </c>
      <c r="P2" s="66" t="s">
        <v>14</v>
      </c>
      <c r="Q2" s="66" t="s">
        <v>18</v>
      </c>
      <c r="R2" s="66" t="s">
        <v>19</v>
      </c>
      <c r="S2" s="66" t="s">
        <v>3</v>
      </c>
      <c r="T2" s="66" t="s">
        <v>4</v>
      </c>
      <c r="U2" s="66" t="s">
        <v>8</v>
      </c>
      <c r="V2" s="66" t="s">
        <v>9</v>
      </c>
    </row>
    <row r="3" spans="2:26" hidden="1">
      <c r="B3" s="200" t="s">
        <v>280</v>
      </c>
      <c r="D3" s="200">
        <f>'Phase calculation'!C89</f>
        <v>0</v>
      </c>
      <c r="E3" s="213">
        <f>'Phase calculation'!D89</f>
        <v>96</v>
      </c>
      <c r="F3" s="213">
        <f>'Phase calculation'!E89</f>
        <v>23</v>
      </c>
      <c r="G3" s="213">
        <f>'Phase calculation'!F89</f>
        <v>31</v>
      </c>
      <c r="H3" s="200">
        <f>'Phase calculation'!C90</f>
        <v>0</v>
      </c>
      <c r="I3" s="213">
        <f>'Phase calculation'!D90</f>
        <v>96</v>
      </c>
      <c r="J3" s="213">
        <f>'Phase calculation'!E90</f>
        <v>9</v>
      </c>
      <c r="K3" s="213">
        <f>'Phase calculation'!F90</f>
        <v>45</v>
      </c>
      <c r="N3" s="200" t="s">
        <v>282</v>
      </c>
      <c r="P3" s="200">
        <f>IF('Summary sheet'!U15=0,0,MAX(30,12*'Summary sheet'!U15+12))</f>
        <v>60</v>
      </c>
      <c r="R3" s="200">
        <f>IF('Summary sheet'!AA15=0,0,MAX(30,12*'Summary sheet'!AA15+12))</f>
        <v>72</v>
      </c>
      <c r="T3" s="200">
        <f>IF('Summary sheet'!Z17=0,0,MAX(30,12*'Summary sheet'!Z17+12))</f>
        <v>72</v>
      </c>
      <c r="V3" s="200">
        <f>IF('Summary sheet'!Z4=0,0,MAX(30,12*'Summary sheet'!Z4+12))</f>
        <v>72</v>
      </c>
    </row>
    <row r="4" spans="2:26" hidden="1">
      <c r="B4" s="200" t="s">
        <v>76</v>
      </c>
      <c r="D4" s="200" t="str">
        <f>'Phase designation'!K41</f>
        <v/>
      </c>
      <c r="E4" s="200" t="str">
        <f>'Phase designation'!L41</f>
        <v>NBT</v>
      </c>
      <c r="F4" s="200" t="str">
        <f>'Phase designation'!M41</f>
        <v>WBL</v>
      </c>
      <c r="G4" s="200" t="str">
        <f>'Phase designation'!N41</f>
        <v>EBT</v>
      </c>
      <c r="H4" s="200" t="str">
        <f>'Phase designation'!K42</f>
        <v/>
      </c>
      <c r="I4" s="200" t="str">
        <f>'Phase designation'!L42</f>
        <v>SBT</v>
      </c>
      <c r="J4" s="200" t="str">
        <f>'Phase designation'!M42</f>
        <v>EBL</v>
      </c>
      <c r="K4" s="200" t="str">
        <f>'Phase designation'!N42</f>
        <v>WBT</v>
      </c>
      <c r="N4" s="204" t="s">
        <v>297</v>
      </c>
      <c r="P4" s="200">
        <f>MAX(Sheet1!N11:P11)</f>
        <v>25</v>
      </c>
      <c r="R4" s="200">
        <f>MAX(Sheet1!S11:U11)</f>
        <v>30</v>
      </c>
      <c r="T4" s="200">
        <f>MAX(Sheet1!C11:F11,Sheet1!W11:AB11)</f>
        <v>40</v>
      </c>
      <c r="V4" s="200">
        <f>MAX(Sheet1!I11:K11,Sheet1!AC11:AH11)</f>
        <v>40</v>
      </c>
    </row>
    <row r="5" spans="2:26" s="210" customFormat="1" hidden="1">
      <c r="B5" s="210" t="s">
        <v>42</v>
      </c>
      <c r="E5" s="210">
        <f>IF(E4="",0,INDEX($O$6:$V$6,1,E6))</f>
        <v>40</v>
      </c>
      <c r="G5" s="210">
        <f>IF(G4="",0,INDEX($O$6:$V$6,1,G6))</f>
        <v>25</v>
      </c>
      <c r="I5" s="210">
        <f>IF(I4="",0,INDEX($O$6:$V$6,1,I6))</f>
        <v>40</v>
      </c>
      <c r="K5" s="210">
        <f>IF(K4="",0,INDEX($O$6:$V$6,1,K6))</f>
        <v>30</v>
      </c>
    </row>
    <row r="6" spans="2:26" hidden="1">
      <c r="B6" s="210" t="s">
        <v>305</v>
      </c>
      <c r="D6" s="200">
        <f t="shared" ref="D6:K6" si="0">IF(D4="",0,MATCH(D4,$O$2:$V$2,0))</f>
        <v>0</v>
      </c>
      <c r="E6" s="200">
        <f t="shared" si="0"/>
        <v>6</v>
      </c>
      <c r="F6" s="200">
        <f t="shared" si="0"/>
        <v>3</v>
      </c>
      <c r="G6" s="200">
        <f t="shared" si="0"/>
        <v>2</v>
      </c>
      <c r="H6" s="200">
        <f t="shared" si="0"/>
        <v>0</v>
      </c>
      <c r="I6" s="200">
        <f t="shared" si="0"/>
        <v>8</v>
      </c>
      <c r="J6" s="200">
        <f t="shared" si="0"/>
        <v>1</v>
      </c>
      <c r="K6" s="200">
        <f t="shared" si="0"/>
        <v>4</v>
      </c>
      <c r="N6" s="204" t="s">
        <v>298</v>
      </c>
      <c r="P6" s="200">
        <f>IF(P4&lt;25,25,ROUNDDOWN(P4/5,0)*5)</f>
        <v>25</v>
      </c>
      <c r="R6" s="204">
        <f>IF(R4&lt;25,25,ROUNDDOWN(R4/5,0)*5)</f>
        <v>30</v>
      </c>
      <c r="T6" s="204">
        <f>IF(T4&lt;25,25,ROUNDDOWN(T4/5,0)*5)</f>
        <v>40</v>
      </c>
      <c r="V6" s="204">
        <f>IF(V4&lt;25,25,ROUNDDOWN(V4/5,0)*5)</f>
        <v>40</v>
      </c>
    </row>
    <row r="7" spans="2:26" hidden="1">
      <c r="B7" s="200" t="s">
        <v>264</v>
      </c>
      <c r="D7" s="200">
        <f>IF(D6=0,0,INDEX($O$8:$V$8,1,D6))</f>
        <v>0</v>
      </c>
      <c r="E7" s="200">
        <f t="shared" ref="E7:K7" si="1">IF(E6=0,0,INDEX($O$8:$V$8,1,E6))</f>
        <v>3.9</v>
      </c>
      <c r="F7" s="200">
        <f t="shared" si="1"/>
        <v>3.2</v>
      </c>
      <c r="G7" s="200">
        <f t="shared" si="1"/>
        <v>3</v>
      </c>
      <c r="H7" s="200">
        <f t="shared" si="1"/>
        <v>0</v>
      </c>
      <c r="I7" s="200">
        <f t="shared" si="1"/>
        <v>3.9</v>
      </c>
      <c r="J7" s="200">
        <f t="shared" si="1"/>
        <v>3</v>
      </c>
      <c r="K7" s="200">
        <f t="shared" si="1"/>
        <v>3.2</v>
      </c>
      <c r="N7" s="200" t="s">
        <v>285</v>
      </c>
      <c r="P7" s="200">
        <f>IF(P6=0,0,MATCH(P6,'Y-AllRed'!$A:$A))</f>
        <v>4</v>
      </c>
      <c r="R7" s="200">
        <f>IF(R6=0,0,MATCH(R6,'Y-AllRed'!$A:$A))</f>
        <v>5</v>
      </c>
      <c r="T7" s="200">
        <f>IF(T6=0,0,MATCH(T6,'Y-AllRed'!$A:$A))</f>
        <v>7</v>
      </c>
      <c r="V7" s="200">
        <f>IF(V6=0,0,MATCH(V6,'Y-AllRed'!$A:$A))</f>
        <v>7</v>
      </c>
    </row>
    <row r="8" spans="2:26" hidden="1">
      <c r="B8" s="200" t="s">
        <v>288</v>
      </c>
      <c r="D8" s="200">
        <f>IF(D6=0,0,INDEX($O$11:$V$11,1,D6))</f>
        <v>0</v>
      </c>
      <c r="E8" s="200">
        <f t="shared" ref="E8:K8" si="2">IF(E6=0,0,INDEX($O$11:$V$11,1,E6))</f>
        <v>1.9</v>
      </c>
      <c r="F8" s="200">
        <f t="shared" si="2"/>
        <v>2.5</v>
      </c>
      <c r="G8" s="200">
        <f t="shared" si="2"/>
        <v>2.5</v>
      </c>
      <c r="H8" s="200">
        <f t="shared" si="2"/>
        <v>0</v>
      </c>
      <c r="I8" s="200">
        <f t="shared" si="2"/>
        <v>1.9</v>
      </c>
      <c r="J8" s="200">
        <f t="shared" si="2"/>
        <v>2.5</v>
      </c>
      <c r="K8" s="200">
        <f t="shared" si="2"/>
        <v>2.5</v>
      </c>
      <c r="N8" s="201" t="s">
        <v>264</v>
      </c>
      <c r="O8" s="201">
        <f>P8</f>
        <v>3</v>
      </c>
      <c r="P8" s="201">
        <f>IF(P3=0,0,INDEX('Y-AllRed'!$B:$B,Phasing_calc!P7))</f>
        <v>3</v>
      </c>
      <c r="Q8" s="201">
        <f>R8</f>
        <v>3.2</v>
      </c>
      <c r="R8" s="201">
        <f>IF(R3=0,0,INDEX('Y-AllRed'!$B:$B,Phasing_calc!R7))</f>
        <v>3.2</v>
      </c>
      <c r="S8" s="201">
        <f>T8</f>
        <v>3.9</v>
      </c>
      <c r="T8" s="201">
        <f>IF(T3=0,0,INDEX('Y-AllRed'!$B:$B,Phasing_calc!T7))</f>
        <v>3.9</v>
      </c>
      <c r="U8" s="201">
        <f>V8</f>
        <v>3.9</v>
      </c>
      <c r="V8" s="201">
        <f>IF(V3=0,0,INDEX('Y-AllRed'!$B:$B,Phasing_calc!V7))</f>
        <v>3.9</v>
      </c>
    </row>
    <row r="9" spans="2:26" hidden="1">
      <c r="B9" s="200" t="s">
        <v>267</v>
      </c>
      <c r="E9" s="203">
        <f>IF(E6=0,0,INDEX($O$22:$V$22,1,E6))</f>
        <v>5</v>
      </c>
      <c r="G9" s="215">
        <f>IF(G6=0,0,INDEX($O$22:$V$22,1,G6))</f>
        <v>5</v>
      </c>
      <c r="I9" s="215">
        <f>IF(I6=0,0,INDEX($O$22:$V$22,1,I6))</f>
        <v>5</v>
      </c>
      <c r="K9" s="215">
        <f>IF(K6=0,0,INDEX($O$22:$V$22,1,K6))</f>
        <v>5</v>
      </c>
      <c r="N9" s="200" t="s">
        <v>286</v>
      </c>
      <c r="P9" s="200">
        <f>P7</f>
        <v>4</v>
      </c>
      <c r="R9" s="200">
        <f>R7</f>
        <v>5</v>
      </c>
      <c r="T9" s="200">
        <f>T7</f>
        <v>7</v>
      </c>
      <c r="V9" s="200">
        <f>V7</f>
        <v>7</v>
      </c>
    </row>
    <row r="10" spans="2:26" hidden="1">
      <c r="B10" s="200" t="s">
        <v>289</v>
      </c>
      <c r="E10" s="200">
        <f>IF(E9=0,0,INDEX($O$19:$V$19,E6))</f>
        <v>24</v>
      </c>
      <c r="F10" s="203"/>
      <c r="G10" s="210">
        <f>IF(G9=0,0,INDEX($O$19:$V$19,G6))</f>
        <v>20</v>
      </c>
      <c r="H10" s="203"/>
      <c r="I10" s="210">
        <f>IF(I9=0,0,INDEX($O$19:$V$19,I6))</f>
        <v>24</v>
      </c>
      <c r="J10" s="203"/>
      <c r="K10" s="210">
        <f>IF(K9=0,0,INDEX($O$19:$V$19,K6))</f>
        <v>24</v>
      </c>
      <c r="N10" s="200" t="s">
        <v>287</v>
      </c>
      <c r="P10" s="200">
        <f>IF(P3=0,0,1+MATCH(P3,'Y-AllRed'!$3:$3))</f>
        <v>5</v>
      </c>
      <c r="R10" s="200">
        <f>IF(R3=0,0,1+MATCH(R3,'Y-AllRed'!$3:$3))</f>
        <v>6</v>
      </c>
      <c r="T10" s="200">
        <f>IF(T3=0,0,1+MATCH(T3,'Y-AllRed'!$3:$3))</f>
        <v>6</v>
      </c>
      <c r="V10" s="200">
        <f>IF(V3=0,0,1+MATCH(V3,'Y-AllRed'!$3:$3))</f>
        <v>6</v>
      </c>
    </row>
    <row r="11" spans="2:26" hidden="1">
      <c r="B11" s="200" t="s">
        <v>290</v>
      </c>
      <c r="D11" s="200">
        <f>IF(D4="",0,5)</f>
        <v>0</v>
      </c>
      <c r="E11" s="200">
        <f>IF(E5&gt;40,15,10)</f>
        <v>10</v>
      </c>
      <c r="F11" s="210">
        <f>IF(F4="",0,5)</f>
        <v>5</v>
      </c>
      <c r="G11" s="210">
        <f>IF(G5&gt;40,15,10)</f>
        <v>10</v>
      </c>
      <c r="H11" s="210">
        <f>IF(H4="",0,5)</f>
        <v>0</v>
      </c>
      <c r="I11" s="210">
        <f>IF(I5&gt;40,15,10)</f>
        <v>10</v>
      </c>
      <c r="J11" s="210">
        <f>IF(J4="",0,5)</f>
        <v>5</v>
      </c>
      <c r="K11" s="210">
        <f>IF(K5&gt;40,15,10)</f>
        <v>10</v>
      </c>
      <c r="N11" s="76" t="s">
        <v>265</v>
      </c>
      <c r="O11" s="76">
        <f>P11</f>
        <v>2.5</v>
      </c>
      <c r="P11" s="76">
        <f>INDEX('Y-AllRed'!1:1048576,Phasing_calc!P9,Phasing_calc!P10)</f>
        <v>2.5</v>
      </c>
      <c r="Q11" s="76">
        <f>R11</f>
        <v>2.5</v>
      </c>
      <c r="R11" s="76">
        <f>INDEX('Y-AllRed'!1:1048576,Phasing_calc!R9,Phasing_calc!R10)</f>
        <v>2.5</v>
      </c>
      <c r="S11" s="76">
        <f>T11</f>
        <v>1.9</v>
      </c>
      <c r="T11" s="76">
        <f>INDEX('Y-AllRed'!1:1048576,Phasing_calc!T9,Phasing_calc!T10)</f>
        <v>1.9</v>
      </c>
      <c r="U11" s="76">
        <f>V11</f>
        <v>1.9</v>
      </c>
      <c r="V11" s="76">
        <f>INDEX('Y-AllRed'!1:1048576,Phasing_calc!V9,Phasing_calc!V10)</f>
        <v>1.9</v>
      </c>
    </row>
    <row r="12" spans="2:26" hidden="1">
      <c r="B12" s="200" t="s">
        <v>291</v>
      </c>
      <c r="D12" s="77">
        <f>IF(D4="",0,ROUNDUP(INDEX($O$16:$V$16,D6),0))</f>
        <v>0</v>
      </c>
      <c r="E12" s="325">
        <f t="shared" ref="E12:K12" si="3">IF(E4="",0,ROUNDUP(INDEX($O$16:$V$16,E6),0))</f>
        <v>91</v>
      </c>
      <c r="F12" s="325">
        <f t="shared" si="3"/>
        <v>102</v>
      </c>
      <c r="G12" s="325">
        <f t="shared" si="3"/>
        <v>26</v>
      </c>
      <c r="H12" s="325">
        <f t="shared" si="3"/>
        <v>0</v>
      </c>
      <c r="I12" s="325">
        <f t="shared" si="3"/>
        <v>91</v>
      </c>
      <c r="J12" s="325">
        <f t="shared" si="3"/>
        <v>5</v>
      </c>
      <c r="K12" s="325">
        <f t="shared" si="3"/>
        <v>40</v>
      </c>
      <c r="L12" s="77"/>
    </row>
    <row r="13" spans="2:26" hidden="1">
      <c r="N13" s="200" t="s">
        <v>259</v>
      </c>
      <c r="O13" s="200">
        <v>1</v>
      </c>
      <c r="P13" s="200">
        <v>20</v>
      </c>
      <c r="Q13" s="200">
        <v>25</v>
      </c>
      <c r="R13" s="200">
        <v>30</v>
      </c>
      <c r="S13" s="200">
        <v>35</v>
      </c>
      <c r="T13" s="200">
        <v>40</v>
      </c>
      <c r="U13" s="200">
        <v>45</v>
      </c>
      <c r="V13" s="200">
        <v>50</v>
      </c>
      <c r="W13" s="200">
        <v>55</v>
      </c>
      <c r="X13" s="200">
        <v>60</v>
      </c>
      <c r="Y13" s="200">
        <v>65</v>
      </c>
      <c r="Z13" s="200">
        <v>70</v>
      </c>
    </row>
    <row r="14" spans="2:26" hidden="1">
      <c r="B14" s="200" t="s">
        <v>261</v>
      </c>
      <c r="D14" s="200">
        <f>IF(D3=0,0,10)</f>
        <v>0</v>
      </c>
      <c r="E14" s="200">
        <f t="shared" ref="E14:K14" si="4">IF(E3=0,0,10)</f>
        <v>10</v>
      </c>
      <c r="F14" s="200">
        <f t="shared" si="4"/>
        <v>10</v>
      </c>
      <c r="G14" s="200">
        <f t="shared" si="4"/>
        <v>10</v>
      </c>
      <c r="H14" s="200">
        <f t="shared" si="4"/>
        <v>0</v>
      </c>
      <c r="I14" s="200">
        <f t="shared" si="4"/>
        <v>10</v>
      </c>
      <c r="J14" s="200">
        <f t="shared" si="4"/>
        <v>10</v>
      </c>
      <c r="K14" s="200">
        <f t="shared" si="4"/>
        <v>10</v>
      </c>
      <c r="N14" s="200" t="s">
        <v>262</v>
      </c>
      <c r="O14" s="200">
        <v>8</v>
      </c>
      <c r="P14" s="200">
        <v>8</v>
      </c>
      <c r="Q14" s="200">
        <v>10</v>
      </c>
      <c r="R14" s="200">
        <v>13</v>
      </c>
      <c r="S14" s="200">
        <v>15</v>
      </c>
      <c r="T14" s="200">
        <v>18</v>
      </c>
      <c r="U14" s="200">
        <v>20</v>
      </c>
      <c r="V14" s="200">
        <v>23</v>
      </c>
      <c r="W14" s="200">
        <v>25</v>
      </c>
      <c r="X14" s="200">
        <v>28</v>
      </c>
      <c r="Y14" s="200">
        <v>30</v>
      </c>
      <c r="Z14" s="200">
        <v>33</v>
      </c>
    </row>
    <row r="15" spans="2:26" hidden="1">
      <c r="B15" s="200" t="s">
        <v>262</v>
      </c>
      <c r="D15" s="200">
        <f>IF(D3=0,0,INDEX($O$14:$Z$14,1,O17))</f>
        <v>0</v>
      </c>
      <c r="E15" s="203">
        <f t="shared" ref="E15:K15" si="5">IF(E3=0,0,INDEX($O$14:$Z$14,1,P17))</f>
        <v>10</v>
      </c>
      <c r="F15" s="203">
        <f t="shared" si="5"/>
        <v>33</v>
      </c>
      <c r="G15" s="203">
        <f t="shared" si="5"/>
        <v>15</v>
      </c>
      <c r="H15" s="203">
        <f t="shared" si="5"/>
        <v>0</v>
      </c>
      <c r="I15" s="203">
        <f t="shared" si="5"/>
        <v>33</v>
      </c>
      <c r="J15" s="203">
        <f t="shared" si="5"/>
        <v>33</v>
      </c>
      <c r="K15" s="203">
        <f t="shared" si="5"/>
        <v>33</v>
      </c>
      <c r="O15" s="200">
        <v>1</v>
      </c>
      <c r="P15" s="200">
        <v>2</v>
      </c>
      <c r="Q15" s="200">
        <v>3</v>
      </c>
      <c r="R15" s="200">
        <v>4</v>
      </c>
      <c r="S15" s="200">
        <v>5</v>
      </c>
      <c r="T15" s="200">
        <v>6</v>
      </c>
      <c r="U15" s="200">
        <v>7</v>
      </c>
      <c r="V15" s="200">
        <v>8</v>
      </c>
    </row>
    <row r="16" spans="2:26" hidden="1">
      <c r="B16" s="200" t="s">
        <v>293</v>
      </c>
      <c r="D16" s="200">
        <f>IF(D4="",0,INDEX($O$28:$V$28,D6))</f>
        <v>0</v>
      </c>
      <c r="E16" s="222">
        <f t="shared" ref="E16:K16" si="6">IF(E4="",0,INDEX($O$28:$V$28,E6))</f>
        <v>0.3</v>
      </c>
      <c r="F16" s="222">
        <f t="shared" si="6"/>
        <v>0</v>
      </c>
      <c r="G16" s="222">
        <f t="shared" si="6"/>
        <v>0</v>
      </c>
      <c r="H16" s="222">
        <f t="shared" si="6"/>
        <v>0</v>
      </c>
      <c r="I16" s="222">
        <f t="shared" si="6"/>
        <v>0.3</v>
      </c>
      <c r="J16" s="222">
        <f t="shared" si="6"/>
        <v>0</v>
      </c>
      <c r="K16" s="222">
        <f t="shared" si="6"/>
        <v>0</v>
      </c>
      <c r="N16" s="200" t="s">
        <v>291</v>
      </c>
      <c r="O16" s="386">
        <f>'Phase calculation'!C29</f>
        <v>5</v>
      </c>
      <c r="P16" s="386">
        <f>'Phase calculation'!D29</f>
        <v>25.5</v>
      </c>
      <c r="Q16" s="386">
        <f>'Phase calculation'!F29</f>
        <v>102</v>
      </c>
      <c r="R16" s="386">
        <f>'Phase calculation'!G29</f>
        <v>39.299999999999997</v>
      </c>
      <c r="S16" s="386">
        <f>'Phase calculation'!I29</f>
        <v>150</v>
      </c>
      <c r="T16" s="386">
        <f>'Phase calculation'!J29</f>
        <v>90.199999999999989</v>
      </c>
      <c r="U16" s="386">
        <f>'Phase calculation'!L29</f>
        <v>150</v>
      </c>
      <c r="V16" s="386">
        <f>'Phase calculation'!M29</f>
        <v>90.199999999999989</v>
      </c>
    </row>
    <row r="17" spans="1:22" hidden="1">
      <c r="B17" s="200" t="s">
        <v>260</v>
      </c>
      <c r="D17" s="200">
        <f>IF(D4="",0,INDEX($O$27:$V$27,D6))</f>
        <v>0</v>
      </c>
      <c r="E17" s="222">
        <f t="shared" ref="E17:K17" si="7">IF(E4="",0,INDEX($O$27:$V$27,E6))</f>
        <v>2.2999999999999998</v>
      </c>
      <c r="F17" s="222">
        <f t="shared" si="7"/>
        <v>2</v>
      </c>
      <c r="G17" s="222">
        <f t="shared" si="7"/>
        <v>1.5</v>
      </c>
      <c r="H17" s="222">
        <f t="shared" si="7"/>
        <v>0</v>
      </c>
      <c r="I17" s="222">
        <f t="shared" si="7"/>
        <v>2.2999999999999998</v>
      </c>
      <c r="J17" s="222">
        <f t="shared" si="7"/>
        <v>1.5</v>
      </c>
      <c r="K17" s="222">
        <f t="shared" si="7"/>
        <v>2</v>
      </c>
      <c r="N17" s="200" t="s">
        <v>292</v>
      </c>
      <c r="O17" s="200">
        <f>IF(O16=0,0,MATCH(O16,$O$13:$Z$13,1))</f>
        <v>1</v>
      </c>
      <c r="P17" s="203">
        <f t="shared" ref="P17:V17" si="8">IF(P16=0,0,MATCH(P16,$O$13:$Z$13,1))</f>
        <v>3</v>
      </c>
      <c r="Q17" s="203">
        <f t="shared" si="8"/>
        <v>12</v>
      </c>
      <c r="R17" s="203">
        <f t="shared" si="8"/>
        <v>5</v>
      </c>
      <c r="S17" s="203">
        <f t="shared" si="8"/>
        <v>12</v>
      </c>
      <c r="T17" s="203">
        <f t="shared" si="8"/>
        <v>12</v>
      </c>
      <c r="U17" s="203">
        <f t="shared" si="8"/>
        <v>12</v>
      </c>
      <c r="V17" s="203">
        <f t="shared" si="8"/>
        <v>12</v>
      </c>
    </row>
    <row r="18" spans="1:22" hidden="1">
      <c r="B18" s="200" t="s">
        <v>270</v>
      </c>
      <c r="D18" s="200">
        <f>IF(D4="",0,9)</f>
        <v>0</v>
      </c>
      <c r="E18" s="210">
        <f>IF(E9=0,ROUNDUP(E11+E7+E8,0),ROUNDUP(E9+E10+E7+E8,0))</f>
        <v>35</v>
      </c>
      <c r="F18" s="210">
        <f>IF(F4="",0,9)</f>
        <v>9</v>
      </c>
      <c r="G18" s="222">
        <f>IF(G9=0,ROUNDUP(G11+G7+G8,0),ROUNDUP(G9+G10+G7+G8,0))</f>
        <v>31</v>
      </c>
      <c r="H18" s="210">
        <f>IF(H4="",0,9)</f>
        <v>0</v>
      </c>
      <c r="I18" s="222">
        <f>IF(I9=0,ROUNDUP(I11+I7+I8,0),ROUNDUP(I9+I10+I7+I8,0))</f>
        <v>35</v>
      </c>
      <c r="J18" s="210">
        <f>IF(J4="",0,9)</f>
        <v>9</v>
      </c>
      <c r="K18" s="222">
        <f>IF(K9=0,ROUNDUP(K11+K7+K8,0),ROUNDUP(K9+K10+K7+K8,0))</f>
        <v>35</v>
      </c>
      <c r="N18" s="203" t="s">
        <v>294</v>
      </c>
      <c r="P18" s="203">
        <f>IF(E4="",0,MATCH(E4,$O$2:$V$2,0))</f>
        <v>6</v>
      </c>
      <c r="Q18" s="203"/>
      <c r="R18" s="203">
        <f>IF(G4="",0,MATCH(G4,$O$2:$V$2,0))</f>
        <v>2</v>
      </c>
      <c r="S18" s="203"/>
      <c r="T18" s="203">
        <f>IF(I4="",0,MATCH(I4,$O$2:$V$2,0))</f>
        <v>8</v>
      </c>
      <c r="U18" s="203"/>
      <c r="V18" s="203">
        <f>IF(K4="",0,MATCH(K4,$O$2:$V$2,0))</f>
        <v>4</v>
      </c>
    </row>
    <row r="19" spans="1:22" hidden="1">
      <c r="B19" s="200" t="s">
        <v>273</v>
      </c>
      <c r="D19" s="200">
        <v>0</v>
      </c>
      <c r="E19" s="200">
        <f>IF(D3=0,0,D20)</f>
        <v>0</v>
      </c>
      <c r="F19" s="200">
        <f>E20</f>
        <v>96</v>
      </c>
      <c r="G19" s="200">
        <f>F20</f>
        <v>119</v>
      </c>
      <c r="H19" s="200">
        <v>0</v>
      </c>
      <c r="I19" s="200">
        <f>IF(H3=0,0,H20)</f>
        <v>0</v>
      </c>
      <c r="J19" s="200">
        <f>I20</f>
        <v>96</v>
      </c>
      <c r="K19" s="200">
        <f>J20</f>
        <v>105</v>
      </c>
      <c r="N19" s="203" t="s">
        <v>268</v>
      </c>
      <c r="P19" s="200">
        <f>P3/3</f>
        <v>20</v>
      </c>
      <c r="Q19" s="203"/>
      <c r="R19" s="203">
        <f>R3/3</f>
        <v>24</v>
      </c>
      <c r="S19" s="203"/>
      <c r="T19" s="203">
        <f>T3/3</f>
        <v>24</v>
      </c>
      <c r="U19" s="203"/>
      <c r="V19" s="203">
        <f>V3/3</f>
        <v>24</v>
      </c>
    </row>
    <row r="20" spans="1:22" hidden="1">
      <c r="B20" s="200" t="s">
        <v>274</v>
      </c>
      <c r="D20" s="200">
        <f t="shared" ref="D20:K20" si="9">D19+D3</f>
        <v>0</v>
      </c>
      <c r="E20" s="200">
        <f t="shared" si="9"/>
        <v>96</v>
      </c>
      <c r="F20" s="200">
        <f t="shared" si="9"/>
        <v>119</v>
      </c>
      <c r="G20" s="200">
        <f t="shared" si="9"/>
        <v>150</v>
      </c>
      <c r="H20" s="200">
        <f t="shared" si="9"/>
        <v>0</v>
      </c>
      <c r="I20" s="200">
        <f t="shared" si="9"/>
        <v>96</v>
      </c>
      <c r="J20" s="200">
        <f t="shared" si="9"/>
        <v>105</v>
      </c>
      <c r="K20" s="200">
        <f t="shared" si="9"/>
        <v>150</v>
      </c>
      <c r="N20" s="203" t="s">
        <v>295</v>
      </c>
      <c r="P20" s="200">
        <v>4</v>
      </c>
      <c r="R20" s="200">
        <v>4</v>
      </c>
      <c r="T20" s="200">
        <v>4</v>
      </c>
      <c r="V20" s="200">
        <v>4</v>
      </c>
    </row>
    <row r="21" spans="1:22" hidden="1">
      <c r="B21" s="200" t="s">
        <v>275</v>
      </c>
      <c r="D21" s="200">
        <f>ROUND(IF(D3=0,0,D20-D7-D8),0)</f>
        <v>0</v>
      </c>
      <c r="E21" s="200">
        <f t="shared" ref="E21:K21" si="10">ROUND(IF(E3=0,0,E20-E7-E8),0)</f>
        <v>90</v>
      </c>
      <c r="F21" s="200">
        <f t="shared" si="10"/>
        <v>113</v>
      </c>
      <c r="G21" s="200">
        <f t="shared" si="10"/>
        <v>145</v>
      </c>
      <c r="H21" s="200">
        <f t="shared" si="10"/>
        <v>0</v>
      </c>
      <c r="I21" s="200">
        <f t="shared" si="10"/>
        <v>90</v>
      </c>
      <c r="J21" s="200">
        <f t="shared" si="10"/>
        <v>100</v>
      </c>
      <c r="K21" s="200">
        <f t="shared" si="10"/>
        <v>144</v>
      </c>
      <c r="N21" s="203" t="s">
        <v>296</v>
      </c>
      <c r="P21" s="203">
        <f>IF(E9=0,0,MIN(ROUNDDOWN(E3-E7-E8-E9,0),ROUNDUP(E9+P19+E7+E8,0)))</f>
        <v>31</v>
      </c>
      <c r="Q21" s="203"/>
      <c r="R21" s="203">
        <f>IF(G9=0,0,MIN(ROUNDDOWN(G3-G7-G8-G9,0),ROUNDUP(G9+R19+G7+G8,0)))</f>
        <v>20</v>
      </c>
      <c r="S21" s="203"/>
      <c r="T21" s="203">
        <f>IF(I9=0,0,MIN(ROUNDDOWN(I3-I7-I8-I9,0),ROUNDUP(I9+T19+I7+I8,0)))</f>
        <v>35</v>
      </c>
      <c r="U21" s="203"/>
      <c r="V21" s="203">
        <f>IF(K9=0,0,MIN(ROUNDDOWN(K3-K7-K8-K9,0),ROUNDUP(K9+V19+K7+K8,0)))</f>
        <v>34</v>
      </c>
    </row>
    <row r="22" spans="1:22" hidden="1">
      <c r="B22" s="200" t="s">
        <v>276</v>
      </c>
      <c r="D22" s="200">
        <f>D21</f>
        <v>0</v>
      </c>
      <c r="E22" s="200">
        <f t="shared" ref="E22:K22" si="11">E21</f>
        <v>90</v>
      </c>
      <c r="F22" s="200">
        <f t="shared" si="11"/>
        <v>113</v>
      </c>
      <c r="G22" s="200">
        <f t="shared" si="11"/>
        <v>145</v>
      </c>
      <c r="H22" s="200">
        <f t="shared" si="11"/>
        <v>0</v>
      </c>
      <c r="I22" s="200">
        <f t="shared" si="11"/>
        <v>90</v>
      </c>
      <c r="J22" s="200">
        <f t="shared" si="11"/>
        <v>100</v>
      </c>
      <c r="K22" s="200">
        <f t="shared" si="11"/>
        <v>144</v>
      </c>
      <c r="N22" s="210" t="s">
        <v>267</v>
      </c>
      <c r="P22" s="200">
        <f>IF('Input sheet'!D18=1,5,0)</f>
        <v>5</v>
      </c>
      <c r="R22" s="200">
        <f>IF('Input sheet'!P18=1,5,0)</f>
        <v>5</v>
      </c>
      <c r="T22" s="200">
        <f>IF('Input sheet'!M24=1,5,0)</f>
        <v>5</v>
      </c>
      <c r="V22" s="200">
        <f>IF('Input sheet'!L6=1,5,0)</f>
        <v>5</v>
      </c>
    </row>
    <row r="23" spans="1:22" hidden="1">
      <c r="B23" s="200" t="s">
        <v>277</v>
      </c>
      <c r="D23" s="200">
        <f>D19</f>
        <v>0</v>
      </c>
      <c r="E23" s="200">
        <f t="shared" ref="E23:K23" si="12">E19</f>
        <v>0</v>
      </c>
      <c r="F23" s="200">
        <f t="shared" si="12"/>
        <v>96</v>
      </c>
      <c r="G23" s="200">
        <f t="shared" si="12"/>
        <v>119</v>
      </c>
      <c r="H23" s="200">
        <f t="shared" si="12"/>
        <v>0</v>
      </c>
      <c r="I23" s="200">
        <f t="shared" si="12"/>
        <v>0</v>
      </c>
      <c r="J23" s="200">
        <f t="shared" si="12"/>
        <v>96</v>
      </c>
      <c r="K23" s="200">
        <f t="shared" si="12"/>
        <v>105</v>
      </c>
      <c r="N23" s="222" t="s">
        <v>314</v>
      </c>
      <c r="P23" s="200">
        <f>IF(P6&lt;=25,3,3.5)</f>
        <v>3</v>
      </c>
      <c r="Q23" s="210"/>
      <c r="R23" s="222">
        <f>IF(R6&lt;=25,3,3.5)</f>
        <v>3.5</v>
      </c>
      <c r="S23" s="210"/>
      <c r="T23" s="222">
        <f>IF(T6&lt;=25,3,3.5)</f>
        <v>3.5</v>
      </c>
      <c r="U23" s="210"/>
      <c r="V23" s="222">
        <f>IF(V6&lt;=25,3,3.5)</f>
        <v>3.5</v>
      </c>
    </row>
    <row r="24" spans="1:22" hidden="1">
      <c r="B24" s="200" t="s">
        <v>278</v>
      </c>
      <c r="D24" s="200">
        <f>D21</f>
        <v>0</v>
      </c>
      <c r="E24" s="200">
        <f t="shared" ref="E24:K24" si="13">E21</f>
        <v>90</v>
      </c>
      <c r="F24" s="200">
        <f t="shared" si="13"/>
        <v>113</v>
      </c>
      <c r="G24" s="200">
        <f t="shared" si="13"/>
        <v>145</v>
      </c>
      <c r="H24" s="200">
        <f t="shared" si="13"/>
        <v>0</v>
      </c>
      <c r="I24" s="200">
        <f t="shared" si="13"/>
        <v>90</v>
      </c>
      <c r="J24" s="200">
        <f t="shared" si="13"/>
        <v>100</v>
      </c>
      <c r="K24" s="200">
        <f t="shared" si="13"/>
        <v>144</v>
      </c>
      <c r="N24" s="210" t="s">
        <v>302</v>
      </c>
      <c r="P24" s="200">
        <f>VLOOKUP(P6,DetZone!$G$4:$H$10,2,FALSE)</f>
        <v>60</v>
      </c>
      <c r="Q24" s="210"/>
      <c r="R24" s="222">
        <f>VLOOKUP(R6,DetZone!$G$4:$H$10,2,FALSE)</f>
        <v>60</v>
      </c>
      <c r="S24" s="210"/>
      <c r="T24" s="222">
        <f>VLOOKUP(T6,DetZone!$G$4:$H$10,2,FALSE)</f>
        <v>70</v>
      </c>
      <c r="U24" s="210"/>
      <c r="V24" s="222">
        <f>VLOOKUP(V6,DetZone!$G$4:$H$10,2,FALSE)</f>
        <v>70</v>
      </c>
    </row>
    <row r="25" spans="1:22" hidden="1">
      <c r="B25" s="200" t="s">
        <v>279</v>
      </c>
      <c r="D25" s="200">
        <f>D24</f>
        <v>0</v>
      </c>
      <c r="E25" s="200">
        <f t="shared" ref="E25:K25" si="14">E24</f>
        <v>90</v>
      </c>
      <c r="F25" s="200">
        <f t="shared" si="14"/>
        <v>113</v>
      </c>
      <c r="G25" s="200">
        <f t="shared" si="14"/>
        <v>145</v>
      </c>
      <c r="H25" s="200">
        <f t="shared" si="14"/>
        <v>0</v>
      </c>
      <c r="I25" s="200">
        <f t="shared" si="14"/>
        <v>90</v>
      </c>
      <c r="J25" s="200">
        <f t="shared" si="14"/>
        <v>100</v>
      </c>
      <c r="K25" s="200">
        <f t="shared" si="14"/>
        <v>144</v>
      </c>
      <c r="N25" s="222" t="s">
        <v>321</v>
      </c>
      <c r="P25" s="200">
        <f>MATCH(P24,DetZone!$B$18:$B$22,0)</f>
        <v>2</v>
      </c>
      <c r="R25" s="222">
        <f>MATCH(R24,DetZone!$B$18:$B$22,0)</f>
        <v>2</v>
      </c>
      <c r="T25" s="222">
        <f>MATCH(T24,DetZone!$B$18:$B$22,0)</f>
        <v>4</v>
      </c>
      <c r="V25" s="222">
        <f>MATCH(V24,DetZone!$B$18:$B$22,0)</f>
        <v>4</v>
      </c>
    </row>
    <row r="26" spans="1:22" hidden="1">
      <c r="G26" s="65" t="s">
        <v>307</v>
      </c>
      <c r="K26" s="65" t="s">
        <v>308</v>
      </c>
      <c r="L26" s="212" t="s">
        <v>306</v>
      </c>
      <c r="N26" s="222" t="s">
        <v>322</v>
      </c>
      <c r="P26" s="200">
        <f>MATCH(P6,DetZone!$C$17:$I$17,0)</f>
        <v>1</v>
      </c>
      <c r="R26" s="222">
        <f>MATCH(R6,DetZone!$C$17:$I$17,0)</f>
        <v>2</v>
      </c>
      <c r="T26" s="222">
        <f>MATCH(T6,DetZone!$C$17:$I$17,0)</f>
        <v>4</v>
      </c>
      <c r="V26" s="222">
        <f>MATCH(V6,DetZone!$C$17:$I$17,0)</f>
        <v>4</v>
      </c>
    </row>
    <row r="27" spans="1:22" s="210" customFormat="1" hidden="1">
      <c r="G27" s="65">
        <f>MAX(D43+E43,H43+I43)</f>
        <v>35</v>
      </c>
      <c r="K27" s="65">
        <f>MAX(F43+G43,J43+K43)</f>
        <v>44</v>
      </c>
      <c r="L27" s="212">
        <f>G27+K27</f>
        <v>79</v>
      </c>
      <c r="N27" s="122" t="s">
        <v>260</v>
      </c>
      <c r="O27" s="122">
        <f>P27</f>
        <v>1.5</v>
      </c>
      <c r="P27" s="122">
        <f>INDEX(DetZone!$C$18:$I$22,Phasing_calc!P25,Phasing_calc!P26)</f>
        <v>1.5</v>
      </c>
      <c r="Q27" s="122">
        <f>R27</f>
        <v>2</v>
      </c>
      <c r="R27" s="122">
        <f>INDEX(DetZone!$C$18:$I$22,Phasing_calc!R25,Phasing_calc!R26)</f>
        <v>2</v>
      </c>
      <c r="S27" s="122">
        <f>T27</f>
        <v>2.2999999999999998</v>
      </c>
      <c r="T27" s="122">
        <f>INDEX(DetZone!$C$18:$I$22,Phasing_calc!T25,Phasing_calc!T26)</f>
        <v>2.2999999999999998</v>
      </c>
      <c r="U27" s="122">
        <f>V27</f>
        <v>2.2999999999999998</v>
      </c>
      <c r="V27" s="122">
        <f>INDEX(DetZone!$C$18:$I$22,Phasing_calc!V25,Phasing_calc!V26)</f>
        <v>2.2999999999999998</v>
      </c>
    </row>
    <row r="28" spans="1:22">
      <c r="A28" s="504" t="s">
        <v>207</v>
      </c>
      <c r="B28" s="504"/>
      <c r="C28" s="504"/>
      <c r="N28" s="224" t="s">
        <v>324</v>
      </c>
      <c r="O28" s="224">
        <f>P28</f>
        <v>0</v>
      </c>
      <c r="P28" s="224">
        <f>INDEX(DetZone!$C$27:$I$31,Phasing_calc!P25,Phasing_calc!P26)</f>
        <v>0</v>
      </c>
      <c r="Q28" s="224">
        <f>R28</f>
        <v>0</v>
      </c>
      <c r="R28" s="224">
        <f>INDEX(DetZone!$C$27:$I$31,Phasing_calc!R25,Phasing_calc!R26)</f>
        <v>0</v>
      </c>
      <c r="S28" s="224">
        <f>T28</f>
        <v>0.3</v>
      </c>
      <c r="T28" s="224">
        <f>INDEX(DetZone!$C$27:$I$31,Phasing_calc!T25,Phasing_calc!T26)</f>
        <v>0.3</v>
      </c>
      <c r="U28" s="224">
        <f>V28</f>
        <v>0.3</v>
      </c>
      <c r="V28" s="224">
        <f>INDEX(DetZone!$C$27:$I$31,Phasing_calc!V25,Phasing_calc!V26)</f>
        <v>0.3</v>
      </c>
    </row>
    <row r="29" spans="1:22">
      <c r="B29" s="257" t="s">
        <v>0</v>
      </c>
      <c r="C29" s="257" t="s">
        <v>1</v>
      </c>
      <c r="D29" s="257" t="s">
        <v>249</v>
      </c>
      <c r="E29" s="257" t="s">
        <v>250</v>
      </c>
      <c r="F29" s="257" t="s">
        <v>251</v>
      </c>
      <c r="G29" s="257" t="s">
        <v>252</v>
      </c>
      <c r="H29" s="257" t="s">
        <v>253</v>
      </c>
      <c r="I29" s="257" t="s">
        <v>254</v>
      </c>
      <c r="J29" s="257" t="s">
        <v>255</v>
      </c>
      <c r="K29" s="257" t="s">
        <v>256</v>
      </c>
    </row>
    <row r="30" spans="1:22">
      <c r="B30" s="200" t="s">
        <v>257</v>
      </c>
      <c r="C30" s="200">
        <f>Sheet1!B2</f>
        <v>0</v>
      </c>
      <c r="D30" s="200">
        <f>IF(D3=0,0,D1)</f>
        <v>0</v>
      </c>
      <c r="E30" s="202">
        <f t="shared" ref="E30:K30" si="15">IF(E3=0,0,E1)</f>
        <v>112</v>
      </c>
      <c r="F30" s="202">
        <f t="shared" si="15"/>
        <v>212</v>
      </c>
      <c r="G30" s="202">
        <f t="shared" si="15"/>
        <v>211</v>
      </c>
      <c r="H30" s="202">
        <f t="shared" si="15"/>
        <v>0</v>
      </c>
      <c r="I30" s="202">
        <f t="shared" si="15"/>
        <v>122</v>
      </c>
      <c r="J30" s="202">
        <f t="shared" si="15"/>
        <v>221</v>
      </c>
      <c r="K30" s="202">
        <f t="shared" si="15"/>
        <v>222</v>
      </c>
    </row>
    <row r="31" spans="1:22">
      <c r="B31" s="257" t="s">
        <v>258</v>
      </c>
      <c r="C31" s="257">
        <f>C30</f>
        <v>0</v>
      </c>
      <c r="D31" s="257">
        <f>IF(D4="",0,D11)</f>
        <v>0</v>
      </c>
      <c r="E31" s="257">
        <f t="shared" ref="E31:K31" si="16">IF(E4="",0,E11)</f>
        <v>10</v>
      </c>
      <c r="F31" s="257">
        <f t="shared" si="16"/>
        <v>5</v>
      </c>
      <c r="G31" s="257">
        <f t="shared" si="16"/>
        <v>10</v>
      </c>
      <c r="H31" s="257">
        <f t="shared" si="16"/>
        <v>0</v>
      </c>
      <c r="I31" s="257">
        <f t="shared" si="16"/>
        <v>10</v>
      </c>
      <c r="J31" s="257">
        <f t="shared" si="16"/>
        <v>5</v>
      </c>
      <c r="K31" s="257">
        <f t="shared" si="16"/>
        <v>10</v>
      </c>
    </row>
    <row r="32" spans="1:22">
      <c r="B32" s="200" t="s">
        <v>259</v>
      </c>
      <c r="C32" s="200">
        <f t="shared" ref="C32:C52" si="17">C31</f>
        <v>0</v>
      </c>
      <c r="D32" s="200">
        <f>D12</f>
        <v>0</v>
      </c>
      <c r="E32" s="200">
        <f t="shared" ref="E32:K32" si="18">E12</f>
        <v>91</v>
      </c>
      <c r="F32" s="200">
        <f t="shared" si="18"/>
        <v>102</v>
      </c>
      <c r="G32" s="200">
        <f t="shared" si="18"/>
        <v>26</v>
      </c>
      <c r="H32" s="200">
        <f t="shared" si="18"/>
        <v>0</v>
      </c>
      <c r="I32" s="200">
        <f t="shared" si="18"/>
        <v>91</v>
      </c>
      <c r="J32" s="200">
        <f t="shared" si="18"/>
        <v>5</v>
      </c>
      <c r="K32" s="200">
        <f t="shared" si="18"/>
        <v>40</v>
      </c>
    </row>
    <row r="33" spans="2:11">
      <c r="B33" s="257" t="s">
        <v>260</v>
      </c>
      <c r="C33" s="257">
        <f t="shared" si="17"/>
        <v>0</v>
      </c>
      <c r="D33" s="257">
        <f>IF(D4="",0,D17)</f>
        <v>0</v>
      </c>
      <c r="E33" s="257">
        <f t="shared" ref="E33:K33" si="19">IF(E4="",0,E17)</f>
        <v>2.2999999999999998</v>
      </c>
      <c r="F33" s="257">
        <f t="shared" si="19"/>
        <v>2</v>
      </c>
      <c r="G33" s="257">
        <f t="shared" si="19"/>
        <v>1.5</v>
      </c>
      <c r="H33" s="257">
        <f t="shared" si="19"/>
        <v>0</v>
      </c>
      <c r="I33" s="257">
        <f t="shared" si="19"/>
        <v>2.2999999999999998</v>
      </c>
      <c r="J33" s="257">
        <f t="shared" si="19"/>
        <v>1.5</v>
      </c>
      <c r="K33" s="257">
        <f t="shared" si="19"/>
        <v>2</v>
      </c>
    </row>
    <row r="34" spans="2:11">
      <c r="B34" s="200" t="s">
        <v>261</v>
      </c>
      <c r="C34" s="200">
        <f t="shared" si="17"/>
        <v>0</v>
      </c>
      <c r="D34" s="200">
        <f>D14</f>
        <v>0</v>
      </c>
      <c r="E34" s="200">
        <f t="shared" ref="E34:K34" si="20">E14</f>
        <v>10</v>
      </c>
      <c r="F34" s="200">
        <f t="shared" si="20"/>
        <v>10</v>
      </c>
      <c r="G34" s="200">
        <f t="shared" si="20"/>
        <v>10</v>
      </c>
      <c r="H34" s="200">
        <f t="shared" si="20"/>
        <v>0</v>
      </c>
      <c r="I34" s="200">
        <f t="shared" si="20"/>
        <v>10</v>
      </c>
      <c r="J34" s="200">
        <f t="shared" si="20"/>
        <v>10</v>
      </c>
      <c r="K34" s="200">
        <f t="shared" si="20"/>
        <v>10</v>
      </c>
    </row>
    <row r="35" spans="2:11">
      <c r="B35" s="257" t="s">
        <v>262</v>
      </c>
      <c r="C35" s="257">
        <f t="shared" si="17"/>
        <v>0</v>
      </c>
      <c r="D35" s="257">
        <f>D15</f>
        <v>0</v>
      </c>
      <c r="E35" s="257">
        <f t="shared" ref="E35:K35" si="21">E15</f>
        <v>10</v>
      </c>
      <c r="F35" s="257">
        <f t="shared" si="21"/>
        <v>33</v>
      </c>
      <c r="G35" s="257">
        <f t="shared" si="21"/>
        <v>15</v>
      </c>
      <c r="H35" s="257">
        <f t="shared" si="21"/>
        <v>0</v>
      </c>
      <c r="I35" s="257">
        <f t="shared" si="21"/>
        <v>33</v>
      </c>
      <c r="J35" s="257">
        <f t="shared" si="21"/>
        <v>33</v>
      </c>
      <c r="K35" s="257">
        <f t="shared" si="21"/>
        <v>33</v>
      </c>
    </row>
    <row r="36" spans="2:11">
      <c r="B36" s="200" t="s">
        <v>263</v>
      </c>
      <c r="C36" s="200">
        <f t="shared" si="17"/>
        <v>0</v>
      </c>
      <c r="D36" s="200">
        <f>IF(D4="",0,D16)</f>
        <v>0</v>
      </c>
      <c r="E36" s="222">
        <f t="shared" ref="E36:K36" si="22">IF(E4="",0,E16)</f>
        <v>0.3</v>
      </c>
      <c r="F36" s="222">
        <f t="shared" si="22"/>
        <v>0</v>
      </c>
      <c r="G36" s="222">
        <f t="shared" si="22"/>
        <v>0</v>
      </c>
      <c r="H36" s="222">
        <f t="shared" si="22"/>
        <v>0</v>
      </c>
      <c r="I36" s="222">
        <f t="shared" si="22"/>
        <v>0.3</v>
      </c>
      <c r="J36" s="222">
        <f t="shared" si="22"/>
        <v>0</v>
      </c>
      <c r="K36" s="222">
        <f t="shared" si="22"/>
        <v>0</v>
      </c>
    </row>
    <row r="37" spans="2:11">
      <c r="B37" s="257" t="s">
        <v>264</v>
      </c>
      <c r="C37" s="257">
        <f t="shared" si="17"/>
        <v>0</v>
      </c>
      <c r="D37" s="257">
        <f>D7</f>
        <v>0</v>
      </c>
      <c r="E37" s="257">
        <f t="shared" ref="E37:K37" si="23">E7</f>
        <v>3.9</v>
      </c>
      <c r="F37" s="257">
        <f t="shared" si="23"/>
        <v>3.2</v>
      </c>
      <c r="G37" s="257">
        <f t="shared" si="23"/>
        <v>3</v>
      </c>
      <c r="H37" s="257">
        <f t="shared" si="23"/>
        <v>0</v>
      </c>
      <c r="I37" s="257">
        <f t="shared" si="23"/>
        <v>3.9</v>
      </c>
      <c r="J37" s="257">
        <f t="shared" si="23"/>
        <v>3</v>
      </c>
      <c r="K37" s="257">
        <f t="shared" si="23"/>
        <v>3.2</v>
      </c>
    </row>
    <row r="38" spans="2:11">
      <c r="B38" s="200" t="s">
        <v>265</v>
      </c>
      <c r="C38" s="200">
        <f t="shared" si="17"/>
        <v>0</v>
      </c>
      <c r="D38" s="200">
        <f>D8</f>
        <v>0</v>
      </c>
      <c r="E38" s="200">
        <f t="shared" ref="E38:K38" si="24">E8</f>
        <v>1.9</v>
      </c>
      <c r="F38" s="200">
        <f t="shared" si="24"/>
        <v>2.5</v>
      </c>
      <c r="G38" s="200">
        <f t="shared" si="24"/>
        <v>2.5</v>
      </c>
      <c r="H38" s="200">
        <f t="shared" si="24"/>
        <v>0</v>
      </c>
      <c r="I38" s="200">
        <f t="shared" si="24"/>
        <v>1.9</v>
      </c>
      <c r="J38" s="200">
        <f t="shared" si="24"/>
        <v>2.5</v>
      </c>
      <c r="K38" s="200">
        <f t="shared" si="24"/>
        <v>2.5</v>
      </c>
    </row>
    <row r="39" spans="2:11">
      <c r="B39" s="257" t="s">
        <v>266</v>
      </c>
      <c r="C39" s="257">
        <f t="shared" si="17"/>
        <v>0</v>
      </c>
      <c r="D39" s="257">
        <v>0</v>
      </c>
      <c r="E39" s="257">
        <f>IF(E9=0,0,1)</f>
        <v>1</v>
      </c>
      <c r="F39" s="257">
        <v>0</v>
      </c>
      <c r="G39" s="257">
        <f>IF(G9=0,0,1)</f>
        <v>1</v>
      </c>
      <c r="H39" s="257">
        <v>0</v>
      </c>
      <c r="I39" s="257">
        <f>IF(I9=0,0,1)</f>
        <v>1</v>
      </c>
      <c r="J39" s="257">
        <v>0</v>
      </c>
      <c r="K39" s="257">
        <f>IF(K9=0,0,1)</f>
        <v>1</v>
      </c>
    </row>
    <row r="40" spans="2:11">
      <c r="B40" s="200" t="s">
        <v>267</v>
      </c>
      <c r="C40" s="200">
        <f t="shared" si="17"/>
        <v>0</v>
      </c>
      <c r="E40" s="200">
        <f>E9</f>
        <v>5</v>
      </c>
      <c r="G40" s="200">
        <f>G9</f>
        <v>5</v>
      </c>
      <c r="I40" s="200">
        <f>I9</f>
        <v>5</v>
      </c>
      <c r="K40" s="200">
        <f>K9</f>
        <v>5</v>
      </c>
    </row>
    <row r="41" spans="2:11">
      <c r="B41" s="257" t="s">
        <v>268</v>
      </c>
      <c r="C41" s="257">
        <f t="shared" si="17"/>
        <v>0</v>
      </c>
      <c r="D41" s="257"/>
      <c r="E41" s="257">
        <f>E10</f>
        <v>24</v>
      </c>
      <c r="F41" s="257"/>
      <c r="G41" s="257">
        <f>G10</f>
        <v>20</v>
      </c>
      <c r="H41" s="257"/>
      <c r="I41" s="257">
        <f>I10</f>
        <v>24</v>
      </c>
      <c r="J41" s="257"/>
      <c r="K41" s="257">
        <f>K10</f>
        <v>24</v>
      </c>
    </row>
    <row r="42" spans="2:11">
      <c r="B42" s="200" t="s">
        <v>269</v>
      </c>
      <c r="C42" s="200">
        <f t="shared" si="17"/>
        <v>0</v>
      </c>
      <c r="E42" s="200">
        <f>IF(E40=0,0,1)</f>
        <v>1</v>
      </c>
      <c r="G42" s="215">
        <f>IF(G40=0,0,1)</f>
        <v>1</v>
      </c>
      <c r="I42" s="215">
        <f>IF(I40=0,0,1)</f>
        <v>1</v>
      </c>
      <c r="K42" s="215">
        <f>IF(K40=0,0,1)</f>
        <v>1</v>
      </c>
    </row>
    <row r="43" spans="2:11">
      <c r="B43" s="257" t="s">
        <v>270</v>
      </c>
      <c r="C43" s="257">
        <f t="shared" si="17"/>
        <v>0</v>
      </c>
      <c r="D43" s="257">
        <f>IF(D4="",0,D18)</f>
        <v>0</v>
      </c>
      <c r="E43" s="257">
        <f t="shared" ref="E43:K43" si="25">IF(E4="",0,E18)</f>
        <v>35</v>
      </c>
      <c r="F43" s="257">
        <f t="shared" si="25"/>
        <v>9</v>
      </c>
      <c r="G43" s="257">
        <f t="shared" si="25"/>
        <v>31</v>
      </c>
      <c r="H43" s="257">
        <f t="shared" si="25"/>
        <v>0</v>
      </c>
      <c r="I43" s="257">
        <f t="shared" si="25"/>
        <v>35</v>
      </c>
      <c r="J43" s="257">
        <f t="shared" si="25"/>
        <v>9</v>
      </c>
      <c r="K43" s="257">
        <f t="shared" si="25"/>
        <v>35</v>
      </c>
    </row>
    <row r="44" spans="2:11">
      <c r="B44" s="200" t="s">
        <v>271</v>
      </c>
      <c r="C44" s="200">
        <f t="shared" si="17"/>
        <v>0</v>
      </c>
      <c r="D44" s="200">
        <v>0</v>
      </c>
      <c r="E44" s="200">
        <f>IF(E3=0,0,1)</f>
        <v>1</v>
      </c>
      <c r="F44" s="200">
        <v>0</v>
      </c>
      <c r="G44" s="200">
        <f>IF(G3=0,0,1)</f>
        <v>1</v>
      </c>
      <c r="H44" s="200">
        <v>0</v>
      </c>
      <c r="I44" s="200">
        <f>IF(I3=0,0,1)</f>
        <v>1</v>
      </c>
      <c r="J44" s="200">
        <v>0</v>
      </c>
      <c r="K44" s="200">
        <f>IF(K3=0,0,1)</f>
        <v>1</v>
      </c>
    </row>
    <row r="45" spans="2:11">
      <c r="B45" s="257" t="s">
        <v>272</v>
      </c>
      <c r="C45" s="257">
        <f t="shared" si="17"/>
        <v>0</v>
      </c>
      <c r="D45" s="257">
        <f>IF(D3=0,0,1)</f>
        <v>0</v>
      </c>
      <c r="E45" s="257">
        <f t="shared" ref="E45:K45" si="26">IF(E3=0,0,1)</f>
        <v>1</v>
      </c>
      <c r="F45" s="257">
        <f t="shared" si="26"/>
        <v>1</v>
      </c>
      <c r="G45" s="257">
        <f t="shared" si="26"/>
        <v>1</v>
      </c>
      <c r="H45" s="257">
        <f t="shared" si="26"/>
        <v>0</v>
      </c>
      <c r="I45" s="257">
        <f t="shared" si="26"/>
        <v>1</v>
      </c>
      <c r="J45" s="257">
        <f t="shared" si="26"/>
        <v>1</v>
      </c>
      <c r="K45" s="257">
        <f t="shared" si="26"/>
        <v>1</v>
      </c>
    </row>
    <row r="46" spans="2:11">
      <c r="B46" s="200" t="s">
        <v>273</v>
      </c>
      <c r="C46" s="200">
        <f t="shared" si="17"/>
        <v>0</v>
      </c>
      <c r="D46" s="200">
        <f>IF(D4="",0,D19)</f>
        <v>0</v>
      </c>
      <c r="E46" s="222">
        <f t="shared" ref="E46:K46" si="27">IF(E4="",0,E19)</f>
        <v>0</v>
      </c>
      <c r="F46" s="222">
        <f t="shared" si="27"/>
        <v>96</v>
      </c>
      <c r="G46" s="222">
        <f t="shared" si="27"/>
        <v>119</v>
      </c>
      <c r="H46" s="222">
        <f t="shared" si="27"/>
        <v>0</v>
      </c>
      <c r="I46" s="222">
        <f t="shared" si="27"/>
        <v>0</v>
      </c>
      <c r="J46" s="222">
        <f t="shared" si="27"/>
        <v>96</v>
      </c>
      <c r="K46" s="222">
        <f t="shared" si="27"/>
        <v>105</v>
      </c>
    </row>
    <row r="47" spans="2:11">
      <c r="B47" s="257" t="s">
        <v>274</v>
      </c>
      <c r="C47" s="257">
        <f t="shared" si="17"/>
        <v>0</v>
      </c>
      <c r="D47" s="257">
        <f>IF(D4="",0,D20)</f>
        <v>0</v>
      </c>
      <c r="E47" s="257">
        <f t="shared" ref="E47:K47" si="28">IF(E4="",0,E20)</f>
        <v>96</v>
      </c>
      <c r="F47" s="257">
        <f t="shared" si="28"/>
        <v>119</v>
      </c>
      <c r="G47" s="257">
        <f t="shared" si="28"/>
        <v>150</v>
      </c>
      <c r="H47" s="257">
        <f t="shared" si="28"/>
        <v>0</v>
      </c>
      <c r="I47" s="257">
        <f t="shared" si="28"/>
        <v>96</v>
      </c>
      <c r="J47" s="257">
        <f t="shared" si="28"/>
        <v>105</v>
      </c>
      <c r="K47" s="257">
        <f t="shared" si="28"/>
        <v>150</v>
      </c>
    </row>
    <row r="48" spans="2:11">
      <c r="B48" s="200" t="s">
        <v>275</v>
      </c>
      <c r="C48" s="200">
        <f t="shared" si="17"/>
        <v>0</v>
      </c>
      <c r="D48" s="200">
        <f>IF(D4="",0,D21)</f>
        <v>0</v>
      </c>
      <c r="E48" s="222">
        <f t="shared" ref="E48:K48" si="29">IF(E4="",0,E21)</f>
        <v>90</v>
      </c>
      <c r="F48" s="222">
        <f t="shared" si="29"/>
        <v>113</v>
      </c>
      <c r="G48" s="222">
        <f t="shared" si="29"/>
        <v>145</v>
      </c>
      <c r="H48" s="222">
        <f t="shared" si="29"/>
        <v>0</v>
      </c>
      <c r="I48" s="222">
        <f t="shared" si="29"/>
        <v>90</v>
      </c>
      <c r="J48" s="222">
        <f t="shared" si="29"/>
        <v>100</v>
      </c>
      <c r="K48" s="222">
        <f t="shared" si="29"/>
        <v>144</v>
      </c>
    </row>
    <row r="49" spans="2:11">
      <c r="B49" s="257" t="s">
        <v>276</v>
      </c>
      <c r="C49" s="257">
        <f t="shared" si="17"/>
        <v>0</v>
      </c>
      <c r="D49" s="257">
        <f>IF(D4="",0,D22)</f>
        <v>0</v>
      </c>
      <c r="E49" s="257">
        <f t="shared" ref="E49:K49" si="30">IF(E4="",0,E22)</f>
        <v>90</v>
      </c>
      <c r="F49" s="257">
        <f t="shared" si="30"/>
        <v>113</v>
      </c>
      <c r="G49" s="257">
        <f t="shared" si="30"/>
        <v>145</v>
      </c>
      <c r="H49" s="257">
        <f t="shared" si="30"/>
        <v>0</v>
      </c>
      <c r="I49" s="257">
        <f t="shared" si="30"/>
        <v>90</v>
      </c>
      <c r="J49" s="257">
        <f t="shared" si="30"/>
        <v>100</v>
      </c>
      <c r="K49" s="257">
        <f t="shared" si="30"/>
        <v>144</v>
      </c>
    </row>
    <row r="50" spans="2:11">
      <c r="B50" s="200" t="s">
        <v>277</v>
      </c>
      <c r="C50" s="200">
        <f t="shared" si="17"/>
        <v>0</v>
      </c>
      <c r="D50" s="200">
        <f>IF(D4="",0,D23)</f>
        <v>0</v>
      </c>
      <c r="E50" s="222">
        <f t="shared" ref="E50:K50" si="31">IF(E4="",0,E23)</f>
        <v>0</v>
      </c>
      <c r="F50" s="222">
        <f t="shared" si="31"/>
        <v>96</v>
      </c>
      <c r="G50" s="222">
        <f t="shared" si="31"/>
        <v>119</v>
      </c>
      <c r="H50" s="222">
        <f t="shared" si="31"/>
        <v>0</v>
      </c>
      <c r="I50" s="222">
        <f t="shared" si="31"/>
        <v>0</v>
      </c>
      <c r="J50" s="222">
        <f t="shared" si="31"/>
        <v>96</v>
      </c>
      <c r="K50" s="222">
        <f t="shared" si="31"/>
        <v>105</v>
      </c>
    </row>
    <row r="51" spans="2:11">
      <c r="B51" s="257" t="s">
        <v>278</v>
      </c>
      <c r="C51" s="257">
        <f t="shared" si="17"/>
        <v>0</v>
      </c>
      <c r="D51" s="257">
        <f>IF(D4="",0,D24)</f>
        <v>0</v>
      </c>
      <c r="E51" s="257">
        <f t="shared" ref="E51:K51" si="32">IF(E4="",0,E24)</f>
        <v>90</v>
      </c>
      <c r="F51" s="257">
        <f t="shared" si="32"/>
        <v>113</v>
      </c>
      <c r="G51" s="257">
        <f t="shared" si="32"/>
        <v>145</v>
      </c>
      <c r="H51" s="257">
        <f t="shared" si="32"/>
        <v>0</v>
      </c>
      <c r="I51" s="257">
        <f t="shared" si="32"/>
        <v>90</v>
      </c>
      <c r="J51" s="257">
        <f t="shared" si="32"/>
        <v>100</v>
      </c>
      <c r="K51" s="257">
        <f t="shared" si="32"/>
        <v>144</v>
      </c>
    </row>
    <row r="52" spans="2:11">
      <c r="B52" s="200" t="s">
        <v>279</v>
      </c>
      <c r="C52" s="200">
        <f t="shared" si="17"/>
        <v>0</v>
      </c>
      <c r="D52" s="200">
        <f>IF(D4="",0,D25)</f>
        <v>0</v>
      </c>
      <c r="E52" s="222">
        <f t="shared" ref="E52:K52" si="33">IF(E4="",0,E25)</f>
        <v>90</v>
      </c>
      <c r="F52" s="222">
        <f t="shared" si="33"/>
        <v>113</v>
      </c>
      <c r="G52" s="222">
        <f t="shared" si="33"/>
        <v>145</v>
      </c>
      <c r="H52" s="222">
        <f t="shared" si="33"/>
        <v>0</v>
      </c>
      <c r="I52" s="222">
        <f t="shared" si="33"/>
        <v>90</v>
      </c>
      <c r="J52" s="222">
        <f t="shared" si="33"/>
        <v>100</v>
      </c>
      <c r="K52" s="222">
        <f t="shared" si="33"/>
        <v>144</v>
      </c>
    </row>
  </sheetData>
  <mergeCells count="1">
    <mergeCell ref="A28:C28"/>
  </mergeCells>
  <pageMargins left="0.7" right="0.7" top="0.75" bottom="0.75" header="0.3" footer="0.3"/>
  <pageSetup paperSize="0" orientation="portrait" r:id="rId1"/>
  <ignoredErrors>
    <ignoredError sqref="E32:K32 E44:K45 F42 H42 J42 E37:K41 E34:K35" formula="1"/>
  </ignoredErrors>
  <legacyDrawing r:id="rId2"/>
</worksheet>
</file>

<file path=xl/worksheets/sheet9.xml><?xml version="1.0" encoding="utf-8"?>
<worksheet xmlns="http://schemas.openxmlformats.org/spreadsheetml/2006/main" xmlns:r="http://schemas.openxmlformats.org/officeDocument/2006/relationships">
  <sheetPr codeName="Sheet8"/>
  <dimension ref="A1:AK248"/>
  <sheetViews>
    <sheetView showGridLines="0" topLeftCell="A19" zoomScale="65" zoomScaleNormal="65" workbookViewId="0"/>
  </sheetViews>
  <sheetFormatPr defaultRowHeight="15"/>
  <cols>
    <col min="1" max="5" width="10.7109375" customWidth="1"/>
    <col min="6" max="6" width="13.85546875" bestFit="1" customWidth="1"/>
    <col min="7" max="18" width="10.7109375" customWidth="1"/>
    <col min="19" max="28" width="9.140625" customWidth="1"/>
    <col min="30" max="37" width="0" hidden="1" customWidth="1"/>
  </cols>
  <sheetData>
    <row r="1" spans="1:37">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c r="B2" s="532" t="s">
        <v>219</v>
      </c>
      <c r="C2" s="532"/>
      <c r="D2" s="532"/>
      <c r="E2" s="532"/>
      <c r="F2" s="532"/>
      <c r="G2" s="532"/>
      <c r="H2" s="532"/>
      <c r="I2" s="116"/>
      <c r="L2" s="534" t="s">
        <v>220</v>
      </c>
      <c r="M2" s="534"/>
      <c r="N2" s="534"/>
      <c r="O2" s="534"/>
      <c r="P2" s="534"/>
      <c r="Q2" s="534"/>
      <c r="R2" s="116"/>
      <c r="U2" s="532" t="s">
        <v>243</v>
      </c>
      <c r="V2" s="532"/>
      <c r="W2" s="532"/>
      <c r="X2" s="532"/>
      <c r="Y2" s="532"/>
      <c r="Z2" s="532"/>
      <c r="AA2" s="532"/>
      <c r="AD2" s="91">
        <f>'Phase designation'!B27</f>
        <v>7</v>
      </c>
      <c r="AE2" s="91">
        <f>'Phase designation'!C27</f>
        <v>4</v>
      </c>
      <c r="AF2" s="91">
        <f>'Phase designation'!D27</f>
        <v>3</v>
      </c>
      <c r="AG2" s="91">
        <f>'Phase designation'!E27</f>
        <v>8</v>
      </c>
      <c r="AH2" s="91">
        <f>'Phase designation'!F27</f>
        <v>0</v>
      </c>
      <c r="AI2" s="91">
        <f>'Phase designation'!G27</f>
        <v>2</v>
      </c>
      <c r="AJ2" s="91">
        <f>'Phase designation'!H27</f>
        <v>0</v>
      </c>
      <c r="AK2" s="91">
        <f>'Phase designation'!I27</f>
        <v>6</v>
      </c>
    </row>
    <row r="3" spans="1:37">
      <c r="D3" s="533" t="str">
        <f>Sheet1!J38</f>
        <v>Foothill</v>
      </c>
      <c r="E3" s="533"/>
      <c r="F3" s="533"/>
      <c r="N3" s="533" t="str">
        <f>D3</f>
        <v>Foothill</v>
      </c>
      <c r="O3" s="533"/>
      <c r="P3" s="533"/>
      <c r="AD3" s="91">
        <f>'Phase designation'!B28</f>
        <v>4</v>
      </c>
      <c r="AE3" s="91">
        <f>'Phase designation'!C28</f>
        <v>0</v>
      </c>
      <c r="AF3" s="91">
        <f>'Phase designation'!D28</f>
        <v>8</v>
      </c>
      <c r="AG3" s="91">
        <f>'Phase designation'!E28</f>
        <v>0</v>
      </c>
      <c r="AH3" s="91">
        <f>'Phase designation'!F28</f>
        <v>2</v>
      </c>
      <c r="AI3" s="91">
        <f>'Phase designation'!G28</f>
        <v>0</v>
      </c>
      <c r="AJ3" s="91">
        <f>'Phase designation'!H28</f>
        <v>6</v>
      </c>
      <c r="AK3" s="91">
        <f>'Phase designation'!I28</f>
        <v>0</v>
      </c>
    </row>
    <row r="4" spans="1:37">
      <c r="C4" s="5"/>
      <c r="D4" s="117">
        <f>IF(Z4=0,0,Sheet1!K4+Sheet1!AE4+Sheet1!AH4)</f>
        <v>23</v>
      </c>
      <c r="E4" s="117">
        <f>IF(Z4=0,0,Sheet1!J4+Sheet1!AD4+Sheet1!AG4)</f>
        <v>1422</v>
      </c>
      <c r="F4" s="117">
        <f>IF(Z4=0,0,Sheet1!I4+Sheet1!AC4+Sheet1!AF4)</f>
        <v>124</v>
      </c>
      <c r="G4" s="5"/>
      <c r="H4" s="5"/>
      <c r="I4" s="5"/>
      <c r="L4" s="5"/>
      <c r="M4" s="5"/>
      <c r="N4" s="308">
        <f>'Phase calculation'!N33</f>
        <v>6</v>
      </c>
      <c r="O4" s="130">
        <f>IF(X4=0,"N/A",AK5)</f>
        <v>6</v>
      </c>
      <c r="P4" s="130">
        <f>IF(Y4=0,"N/A",AJ5)</f>
        <v>6</v>
      </c>
      <c r="Q4" s="5"/>
      <c r="R4" s="5"/>
      <c r="V4" s="5"/>
      <c r="W4" s="117">
        <f>Sheet1!K5+Sheet1!AE5+Sheet1!AH5</f>
        <v>1</v>
      </c>
      <c r="X4" s="117">
        <f>Sheet1!J5+Sheet1!AD5+Sheet1!AG5</f>
        <v>3</v>
      </c>
      <c r="Y4" s="117">
        <f>Sheet1!I5+Sheet1!AC5+Sheet1!AF5</f>
        <v>1</v>
      </c>
      <c r="Z4" s="186">
        <f>SUM(W4:Y4)</f>
        <v>5</v>
      </c>
      <c r="AA4" s="5"/>
    </row>
    <row r="5" spans="1:37">
      <c r="C5" s="5"/>
      <c r="D5" s="5"/>
      <c r="E5" s="5"/>
      <c r="F5" s="5"/>
      <c r="G5" s="5"/>
      <c r="H5" s="5"/>
      <c r="I5" s="5"/>
      <c r="L5" s="5"/>
      <c r="M5" s="5"/>
      <c r="N5" s="5"/>
      <c r="O5" s="5"/>
      <c r="P5" s="5"/>
      <c r="Q5" s="5"/>
      <c r="R5" s="5"/>
      <c r="T5" s="243"/>
      <c r="V5" s="5"/>
      <c r="W5" s="5"/>
      <c r="X5" s="5"/>
      <c r="Y5" s="5"/>
      <c r="Z5" s="5"/>
      <c r="AA5" s="5"/>
      <c r="AD5" s="91" t="str">
        <f>IF(AD2=0,AD3,AD2&amp;"+"&amp;AD3)</f>
        <v>7+4</v>
      </c>
      <c r="AE5" s="91">
        <f>AE2</f>
        <v>4</v>
      </c>
      <c r="AF5" s="91" t="str">
        <f>IF(AF2=0,AF3,AF2&amp;"+"&amp;AF3)</f>
        <v>3+8</v>
      </c>
      <c r="AG5" s="91">
        <f>AG2</f>
        <v>8</v>
      </c>
      <c r="AH5" s="91">
        <f>IF(AH2=0,AH3,AH2&amp;"+"&amp;AH3)</f>
        <v>2</v>
      </c>
      <c r="AI5" s="91">
        <f>AI2</f>
        <v>2</v>
      </c>
      <c r="AJ5" s="91">
        <f>IF(AJ2=0,AJ3,AJ2&amp;"+"&amp;AJ3)</f>
        <v>6</v>
      </c>
      <c r="AK5" s="91">
        <f>AK2</f>
        <v>6</v>
      </c>
    </row>
    <row r="6" spans="1:37">
      <c r="C6" s="5"/>
      <c r="D6" s="5"/>
      <c r="E6" s="5"/>
      <c r="F6" s="5"/>
      <c r="G6" s="5"/>
      <c r="H6" s="5"/>
      <c r="I6" s="17" t="s">
        <v>79</v>
      </c>
      <c r="L6" s="5"/>
      <c r="M6" s="5"/>
      <c r="N6" s="5"/>
      <c r="O6" s="5"/>
      <c r="P6" s="5"/>
      <c r="Q6" s="5"/>
      <c r="S6" s="17" t="s">
        <v>79</v>
      </c>
      <c r="T6" s="243"/>
      <c r="V6" s="5"/>
      <c r="W6" s="5"/>
      <c r="X6" s="5"/>
      <c r="Y6" s="5"/>
      <c r="Z6" s="5"/>
      <c r="AA6" s="5"/>
    </row>
    <row r="7" spans="1:37">
      <c r="C7" s="5"/>
      <c r="D7" s="5"/>
      <c r="E7" s="5"/>
      <c r="F7" s="5"/>
      <c r="G7" s="5"/>
      <c r="H7" s="5"/>
      <c r="I7" s="5"/>
      <c r="L7" s="5"/>
      <c r="M7" s="5"/>
      <c r="N7" s="5"/>
      <c r="O7" s="5"/>
      <c r="P7" s="5"/>
      <c r="Q7" s="5"/>
      <c r="R7" s="5"/>
      <c r="T7" s="243"/>
      <c r="V7" s="5"/>
      <c r="W7" s="5"/>
      <c r="X7" s="5"/>
      <c r="Y7" s="5"/>
      <c r="Z7" s="5"/>
      <c r="AA7" s="5"/>
    </row>
    <row r="8" spans="1:37">
      <c r="C8" s="5"/>
      <c r="D8" s="5"/>
      <c r="E8" s="5"/>
      <c r="F8" s="5"/>
      <c r="G8" s="5"/>
      <c r="H8" s="5"/>
      <c r="I8" s="5"/>
      <c r="L8" s="5"/>
      <c r="M8" s="5"/>
      <c r="N8" s="5"/>
      <c r="O8" s="5"/>
      <c r="P8" s="5"/>
      <c r="Q8" s="5"/>
      <c r="R8" s="5"/>
      <c r="V8" s="5"/>
      <c r="W8" s="5"/>
      <c r="X8" s="5"/>
      <c r="Y8" s="5"/>
      <c r="Z8" s="5"/>
      <c r="AA8" s="5"/>
    </row>
    <row r="9" spans="1:37">
      <c r="B9" s="94">
        <f>IF(U15=0,0,Sheet1!N4)</f>
        <v>28</v>
      </c>
      <c r="C9" s="83"/>
      <c r="D9" s="5"/>
      <c r="E9" s="5"/>
      <c r="F9" s="5"/>
      <c r="G9" s="5"/>
      <c r="H9" s="118">
        <f>IF(AA15=0,0,Sheet1!U4)</f>
        <v>560</v>
      </c>
      <c r="I9" s="5"/>
      <c r="L9" s="131" t="str">
        <f>IF(U9=0,"N/A",AD5)</f>
        <v>7+4</v>
      </c>
      <c r="M9" s="5"/>
      <c r="N9" s="5"/>
      <c r="O9" s="5"/>
      <c r="P9" s="5"/>
      <c r="R9" s="307">
        <f>'Phase calculation'!H33</f>
        <v>8</v>
      </c>
      <c r="T9" s="243"/>
      <c r="U9" s="94">
        <f>Sheet1!N5</f>
        <v>1</v>
      </c>
      <c r="V9" s="83"/>
      <c r="W9" s="5"/>
      <c r="X9" s="5"/>
      <c r="Y9" s="5"/>
      <c r="Z9" s="5"/>
      <c r="AA9" s="118">
        <f>Sheet1!U5</f>
        <v>1</v>
      </c>
    </row>
    <row r="10" spans="1:37">
      <c r="C10" s="81"/>
      <c r="D10" s="11"/>
      <c r="E10" s="11"/>
      <c r="F10" s="11"/>
      <c r="G10" s="11"/>
      <c r="H10" s="103"/>
      <c r="I10" s="10"/>
      <c r="L10" s="5"/>
      <c r="M10" s="11"/>
      <c r="N10" s="11"/>
      <c r="O10" s="11"/>
      <c r="P10" s="11"/>
      <c r="V10" s="81"/>
      <c r="W10" s="11"/>
      <c r="X10" s="11"/>
      <c r="Y10" s="11"/>
      <c r="Z10" s="11"/>
      <c r="AA10" s="103"/>
    </row>
    <row r="11" spans="1:37">
      <c r="A11" s="206" t="str">
        <f>Sheet1!O38</f>
        <v>Wakara</v>
      </c>
      <c r="B11" s="94">
        <f>IF(U15=0,0,Sheet1!O4)</f>
        <v>0</v>
      </c>
      <c r="C11" s="81"/>
      <c r="D11" s="26"/>
      <c r="E11" s="241">
        <f>Sheet1!B2</f>
        <v>0</v>
      </c>
      <c r="F11" s="11"/>
      <c r="G11" s="11"/>
      <c r="H11" s="119">
        <f>IF(AA15=0,0,Sheet1!T4)</f>
        <v>1</v>
      </c>
      <c r="I11" s="205" t="str">
        <f>Sheet1!T38</f>
        <v>Wakara</v>
      </c>
      <c r="K11" s="206" t="str">
        <f>A11</f>
        <v>Wakara</v>
      </c>
      <c r="L11" s="131">
        <f>IF(U11=0,"N/A",AE5)</f>
        <v>4</v>
      </c>
      <c r="M11" s="26"/>
      <c r="N11" s="11"/>
      <c r="O11" s="11"/>
      <c r="P11" s="11"/>
      <c r="R11" s="134">
        <f>IF(AA11=0,"N/A",AG5)</f>
        <v>8</v>
      </c>
      <c r="S11" s="205" t="str">
        <f>I11</f>
        <v>Wakara</v>
      </c>
      <c r="U11" s="94">
        <f>Sheet1!O5</f>
        <v>2</v>
      </c>
      <c r="V11" s="81"/>
      <c r="W11" s="26"/>
      <c r="X11" s="11"/>
      <c r="Y11" s="11"/>
      <c r="Z11" s="11"/>
      <c r="AA11" s="119">
        <f>Sheet1!T5</f>
        <v>3</v>
      </c>
    </row>
    <row r="12" spans="1:37">
      <c r="C12" s="5"/>
      <c r="D12" s="30"/>
      <c r="E12" s="15"/>
      <c r="F12" s="15"/>
      <c r="G12" s="15"/>
      <c r="H12" s="120"/>
      <c r="I12" s="14"/>
      <c r="L12" s="5"/>
      <c r="M12" s="30"/>
      <c r="N12" s="15"/>
      <c r="O12" s="15"/>
      <c r="P12" s="15"/>
      <c r="R12" s="24"/>
      <c r="S12" s="10"/>
      <c r="V12" s="5"/>
      <c r="W12" s="30"/>
      <c r="X12" s="15"/>
      <c r="Y12" s="15"/>
      <c r="Z12" s="15"/>
      <c r="AA12" s="120"/>
    </row>
    <row r="13" spans="1:37">
      <c r="B13" s="94">
        <f>IF(U15=0,0,Sheet1!P4)</f>
        <v>97</v>
      </c>
      <c r="C13" s="5"/>
      <c r="D13" s="31"/>
      <c r="E13" s="32"/>
      <c r="F13" s="32"/>
      <c r="G13" s="33"/>
      <c r="H13" s="121">
        <f>IF(AA15=0,0,Sheet1!S4)</f>
        <v>803</v>
      </c>
      <c r="I13" s="16"/>
      <c r="L13" s="306">
        <f>'Phase calculation'!E33</f>
        <v>4</v>
      </c>
      <c r="M13" s="31"/>
      <c r="N13" s="32"/>
      <c r="O13" s="32"/>
      <c r="P13" s="33"/>
      <c r="R13" s="135" t="str">
        <f>IF(AA13=0,"N/A",AF5)</f>
        <v>3+8</v>
      </c>
      <c r="U13" s="94">
        <f>Sheet1!P5</f>
        <v>1</v>
      </c>
      <c r="V13" s="5"/>
      <c r="W13" s="31"/>
      <c r="X13" s="32"/>
      <c r="Y13" s="32"/>
      <c r="Z13" s="33"/>
      <c r="AA13" s="121">
        <f>Sheet1!S5</f>
        <v>1</v>
      </c>
    </row>
    <row r="14" spans="1:37">
      <c r="C14" s="5"/>
      <c r="D14" s="34"/>
      <c r="E14" s="15"/>
      <c r="F14" s="15"/>
      <c r="G14" s="15"/>
      <c r="H14" s="90"/>
      <c r="I14" s="90"/>
      <c r="L14" s="5"/>
      <c r="M14" s="34"/>
      <c r="N14" s="15"/>
      <c r="O14" s="15"/>
      <c r="P14" s="15"/>
      <c r="Q14" s="90"/>
      <c r="R14" s="90"/>
      <c r="V14" s="5"/>
      <c r="W14" s="34"/>
      <c r="X14" s="15"/>
      <c r="Y14" s="15"/>
      <c r="Z14" s="15"/>
      <c r="AA14" s="165"/>
    </row>
    <row r="15" spans="1:37">
      <c r="C15" s="5"/>
      <c r="D15" s="35"/>
      <c r="E15" s="15"/>
      <c r="F15" s="15" t="s">
        <v>80</v>
      </c>
      <c r="G15" s="15"/>
      <c r="H15" s="15"/>
      <c r="I15" s="15"/>
      <c r="L15" s="5"/>
      <c r="M15" s="35"/>
      <c r="N15" s="15"/>
      <c r="O15" s="15" t="s">
        <v>80</v>
      </c>
      <c r="P15" s="15"/>
      <c r="Q15" s="15"/>
      <c r="R15" s="15"/>
      <c r="U15" s="185">
        <f>SUM(U9:U13)</f>
        <v>4</v>
      </c>
      <c r="V15" s="5"/>
      <c r="W15" s="35"/>
      <c r="X15" s="15"/>
      <c r="Y15" s="15" t="s">
        <v>80</v>
      </c>
      <c r="Z15" s="15"/>
      <c r="AA15" s="187">
        <f>SUM(AA9:AA13)</f>
        <v>5</v>
      </c>
    </row>
    <row r="16" spans="1:37">
      <c r="C16" s="5"/>
      <c r="D16" s="23"/>
      <c r="E16" s="25"/>
      <c r="F16" s="29"/>
      <c r="G16" s="15"/>
      <c r="H16" s="15"/>
      <c r="I16" s="15"/>
      <c r="L16" s="5"/>
      <c r="M16" s="23"/>
      <c r="P16" s="15"/>
      <c r="Q16" s="15"/>
      <c r="R16" s="15"/>
      <c r="V16" s="5"/>
      <c r="W16" s="23"/>
      <c r="X16" s="25"/>
      <c r="Y16" s="29"/>
      <c r="Z16" s="15"/>
      <c r="AA16" s="15"/>
    </row>
    <row r="17" spans="1:26">
      <c r="D17" s="122">
        <f>IF(Z17=0,0,Sheet1!D4+Sheet1!Z4+Sheet1!W4)</f>
        <v>15</v>
      </c>
      <c r="E17" s="122">
        <f>IF(Z17=0,0,Sheet1!E4+Sheet1!X4+Sheet1!AA4)</f>
        <v>738</v>
      </c>
      <c r="F17" s="122">
        <f>IF(Z17=0,0,Sheet1!F4+Sheet1!Y4+Sheet1!AB4)</f>
        <v>141</v>
      </c>
      <c r="N17" s="132">
        <f>IF(W17=0,"N/A",AH5)</f>
        <v>2</v>
      </c>
      <c r="O17" s="133">
        <f>IF(X17=0,"N/A",AI5)</f>
        <v>2</v>
      </c>
      <c r="P17" s="308">
        <f>'Phase calculation'!K33</f>
        <v>2</v>
      </c>
      <c r="W17" s="122">
        <f>Sheet1!D5+Sheet1!W5+Sheet1!Z5</f>
        <v>1</v>
      </c>
      <c r="X17" s="122">
        <f>Sheet1!E5+Sheet1!X5+Sheet1!AA5</f>
        <v>3</v>
      </c>
      <c r="Y17" s="122">
        <f>Sheet1!F5+Sheet1!Y5+Sheet1!AB5</f>
        <v>1</v>
      </c>
      <c r="Z17" s="185">
        <f>SUM(W17:Y17)</f>
        <v>5</v>
      </c>
    </row>
    <row r="18" spans="1:26">
      <c r="D18" s="533" t="str">
        <f>Sheet1!E38</f>
        <v>Foothill</v>
      </c>
      <c r="E18" s="533"/>
      <c r="F18" s="533"/>
      <c r="N18" s="533" t="str">
        <f>D18</f>
        <v>Foothill</v>
      </c>
      <c r="O18" s="533"/>
      <c r="P18" s="533"/>
    </row>
    <row r="20" spans="1:26">
      <c r="B20" s="535" t="s">
        <v>218</v>
      </c>
      <c r="C20" s="535"/>
      <c r="D20" s="535"/>
      <c r="E20" s="535"/>
      <c r="F20" s="535"/>
      <c r="G20" s="535"/>
      <c r="H20" s="116"/>
      <c r="L20" s="484" t="s">
        <v>217</v>
      </c>
      <c r="M20" s="484"/>
      <c r="N20" s="484"/>
      <c r="O20" s="484"/>
      <c r="P20" s="484"/>
      <c r="Q20" s="484"/>
    </row>
    <row r="21" spans="1:26">
      <c r="D21" s="533" t="str">
        <f>D3</f>
        <v>Foothill</v>
      </c>
      <c r="E21" s="533"/>
      <c r="F21" s="533"/>
      <c r="N21" s="533" t="str">
        <f>D3</f>
        <v>Foothill</v>
      </c>
      <c r="O21" s="533"/>
      <c r="P21" s="533"/>
    </row>
    <row r="22" spans="1:26">
      <c r="B22" s="5"/>
      <c r="C22" s="5"/>
      <c r="D22" s="305">
        <f>'Phase calculation'!N34</f>
        <v>96</v>
      </c>
      <c r="E22" s="79">
        <f>IF(X4=0,0,'Phase calculation'!M34)</f>
        <v>96</v>
      </c>
      <c r="F22" s="79">
        <f>IF(Z17=0,'Phase calculation'!M34,'Phase calculation'!L34)</f>
        <v>0</v>
      </c>
      <c r="G22" s="5"/>
      <c r="H22" s="5"/>
      <c r="I22" s="5"/>
      <c r="L22" s="5"/>
      <c r="M22" s="5"/>
      <c r="N22" s="246">
        <f>'Phase calculation'!N44</f>
        <v>864</v>
      </c>
      <c r="O22" s="92">
        <f>IF(X4=0,"N/A",'Phase calculation'!M44)</f>
        <v>2590</v>
      </c>
      <c r="P22" s="92">
        <f>IF(Y4=0,"N/A",'Phase calculation'!L44)</f>
        <v>58</v>
      </c>
      <c r="Q22" s="5"/>
    </row>
    <row r="23" spans="1:26">
      <c r="B23" s="5"/>
      <c r="C23" s="5"/>
      <c r="D23" s="5"/>
      <c r="E23" s="5"/>
      <c r="G23" s="5"/>
      <c r="H23" s="5"/>
      <c r="I23" s="5"/>
      <c r="L23" s="5"/>
      <c r="M23" s="5"/>
      <c r="N23" s="5"/>
      <c r="O23" s="5"/>
      <c r="P23" s="5"/>
      <c r="Q23" s="5"/>
    </row>
    <row r="24" spans="1:26">
      <c r="B24" s="5"/>
      <c r="C24" s="5"/>
      <c r="D24" s="5"/>
      <c r="E24" s="5"/>
      <c r="G24" s="5"/>
      <c r="H24" s="5"/>
      <c r="I24" s="17" t="s">
        <v>79</v>
      </c>
      <c r="L24" s="5"/>
      <c r="M24" s="5"/>
      <c r="N24" s="5"/>
      <c r="O24" s="5"/>
      <c r="P24" s="5"/>
      <c r="Q24" s="5"/>
      <c r="S24" s="17" t="s">
        <v>79</v>
      </c>
    </row>
    <row r="25" spans="1:26">
      <c r="B25" s="5"/>
      <c r="C25" s="5"/>
      <c r="D25" s="5"/>
      <c r="E25" s="5"/>
      <c r="G25" s="5"/>
      <c r="H25" s="5"/>
      <c r="I25" s="5"/>
      <c r="L25" s="5"/>
      <c r="M25" s="5"/>
      <c r="N25" s="5"/>
      <c r="O25" s="5"/>
      <c r="P25" s="5"/>
      <c r="Q25" s="5"/>
    </row>
    <row r="26" spans="1:26">
      <c r="B26" s="5"/>
      <c r="C26" s="5"/>
      <c r="D26" s="5"/>
      <c r="E26" s="5"/>
      <c r="G26" s="5"/>
      <c r="H26" s="5"/>
      <c r="I26" s="5"/>
      <c r="L26" s="5"/>
      <c r="M26" s="5"/>
      <c r="N26" s="5"/>
      <c r="O26" s="5"/>
      <c r="P26" s="5"/>
      <c r="Q26" s="5"/>
    </row>
    <row r="27" spans="1:26">
      <c r="B27" s="123">
        <f>IF(AA15=0,'Phase calculation'!D34,'Phase calculation'!C34)</f>
        <v>9</v>
      </c>
      <c r="C27" s="5"/>
      <c r="E27" s="129"/>
      <c r="G27" s="5"/>
      <c r="H27" s="125">
        <f>'Phase calculation'!H34</f>
        <v>45</v>
      </c>
      <c r="L27" s="44">
        <f>IF(U9=0,"N/A",'Phase calculation'!C44)</f>
        <v>109</v>
      </c>
      <c r="M27" s="5"/>
      <c r="N27" s="129"/>
      <c r="O27" s="129"/>
      <c r="P27" s="5"/>
      <c r="R27" s="309">
        <f>'Phase calculation'!H44</f>
        <v>385</v>
      </c>
    </row>
    <row r="28" spans="1:26">
      <c r="B28" s="5"/>
      <c r="C28" s="11"/>
      <c r="D28" s="129"/>
      <c r="E28" s="536" t="str">
        <f>IF(E22+F22+H27+H29+E35+D35+B29+B27=0,0,"C = "&amp;'Phase calculation'!C25&amp;" s")</f>
        <v>C = 150 s</v>
      </c>
      <c r="G28" s="11"/>
      <c r="H28" s="24"/>
      <c r="I28" s="10"/>
      <c r="L28" s="192"/>
      <c r="M28" s="11"/>
      <c r="N28" s="129"/>
      <c r="O28" s="129"/>
      <c r="P28" s="11"/>
    </row>
    <row r="29" spans="1:26">
      <c r="A29" s="206" t="str">
        <f>A11</f>
        <v>Wakara</v>
      </c>
      <c r="B29" s="124">
        <f>IF(U11=0,0,'Phase calculation'!D34)</f>
        <v>31</v>
      </c>
      <c r="C29" s="26"/>
      <c r="D29" s="11"/>
      <c r="E29" s="536"/>
      <c r="G29" s="11"/>
      <c r="H29" s="126">
        <f>IF(AA11=0,0,'Phase calculation'!G34)</f>
        <v>45</v>
      </c>
      <c r="I29" s="207" t="str">
        <f>I11</f>
        <v>Wakara</v>
      </c>
      <c r="K29" s="206" t="str">
        <f>A11</f>
        <v>Wakara</v>
      </c>
      <c r="L29" s="44">
        <f>IF(U11=0,"N/A",'Phase calculation'!D44)</f>
        <v>507</v>
      </c>
      <c r="M29" s="26"/>
      <c r="N29" s="11"/>
      <c r="O29" s="11"/>
      <c r="P29" s="11"/>
      <c r="R29" s="9">
        <f>IF(AA11=0,"N/A",'Phase calculation'!G44)</f>
        <v>1154</v>
      </c>
      <c r="S29" s="206" t="str">
        <f>I11</f>
        <v>Wakara</v>
      </c>
    </row>
    <row r="30" spans="1:26">
      <c r="B30" s="5"/>
      <c r="C30" s="30"/>
      <c r="D30" s="15"/>
      <c r="E30" s="536"/>
      <c r="G30" s="15"/>
      <c r="H30" s="26"/>
      <c r="I30" s="14"/>
      <c r="L30" s="5"/>
      <c r="M30" s="30"/>
      <c r="N30" s="15"/>
      <c r="O30" s="15"/>
      <c r="P30" s="15"/>
      <c r="Q30" s="26"/>
      <c r="R30" s="24"/>
    </row>
    <row r="31" spans="1:26">
      <c r="B31" s="124">
        <f>'Phase calculation'!E34</f>
        <v>31</v>
      </c>
      <c r="C31" s="31"/>
      <c r="D31" s="32"/>
      <c r="E31" s="32"/>
      <c r="F31" s="33"/>
      <c r="G31" s="15"/>
      <c r="H31" s="304">
        <f>IF(U15=0,'Phase calculation'!G34,'Phase calculation'!F34)</f>
        <v>23</v>
      </c>
      <c r="L31" s="7">
        <f>'Phase calculation'!E44</f>
        <v>253</v>
      </c>
      <c r="M31" s="31"/>
      <c r="N31" s="32"/>
      <c r="O31" s="32"/>
      <c r="P31" s="33"/>
      <c r="Q31" s="15"/>
      <c r="R31" s="27">
        <f>IF(AA13=0,"N/A",'Phase calculation'!F44)</f>
        <v>247</v>
      </c>
    </row>
    <row r="32" spans="1:26">
      <c r="B32" s="5"/>
      <c r="C32" s="34"/>
      <c r="D32" s="15"/>
      <c r="E32" s="15"/>
      <c r="F32" s="15"/>
      <c r="G32" s="90"/>
      <c r="H32" s="90"/>
      <c r="L32" s="5"/>
      <c r="M32" s="34"/>
      <c r="N32" s="15"/>
      <c r="O32" s="15"/>
      <c r="P32" s="15"/>
      <c r="Q32" s="90"/>
    </row>
    <row r="33" spans="2:20">
      <c r="B33" s="5"/>
      <c r="C33" s="35"/>
      <c r="D33" s="15"/>
      <c r="E33" s="15" t="s">
        <v>80</v>
      </c>
      <c r="F33" s="15"/>
      <c r="G33" s="15"/>
      <c r="H33" s="15"/>
      <c r="L33" s="5"/>
      <c r="M33" s="35"/>
      <c r="N33" s="15"/>
      <c r="O33" s="15" t="s">
        <v>80</v>
      </c>
      <c r="P33" s="15"/>
      <c r="Q33" s="15"/>
    </row>
    <row r="34" spans="2:20">
      <c r="B34" s="5"/>
      <c r="C34" s="23"/>
      <c r="F34" s="15"/>
      <c r="G34" s="15"/>
      <c r="H34" s="15"/>
      <c r="L34" s="5"/>
      <c r="M34" s="23"/>
      <c r="P34" s="15"/>
      <c r="Q34" s="15"/>
    </row>
    <row r="35" spans="2:20">
      <c r="D35" s="127">
        <f>IF(Z4=0,'Phase calculation'!J34,'Phase calculation'!I34)</f>
        <v>0</v>
      </c>
      <c r="E35" s="128">
        <f>IF(X17=0,0,'Phase calculation'!J34)</f>
        <v>96</v>
      </c>
      <c r="F35" s="305">
        <f>'Phase calculation'!K34</f>
        <v>96</v>
      </c>
      <c r="N35" s="36">
        <f>IF(W17=0,"N/A",'Phase calculation'!I44)</f>
        <v>54</v>
      </c>
      <c r="O35" s="37">
        <f>IF(X17=0,"N/A",'Phase calculation'!J44)</f>
        <v>2590</v>
      </c>
      <c r="P35" s="246">
        <f>'Phase calculation'!K44</f>
        <v>864</v>
      </c>
    </row>
    <row r="36" spans="2:20">
      <c r="D36" s="533" t="str">
        <f>D18</f>
        <v>Foothill</v>
      </c>
      <c r="E36" s="533"/>
      <c r="F36" s="533"/>
      <c r="G36" s="62"/>
      <c r="H36" s="62"/>
      <c r="I36" s="62"/>
      <c r="J36" s="62"/>
      <c r="K36" s="62"/>
      <c r="L36" s="62"/>
      <c r="M36" s="62"/>
      <c r="N36" s="533" t="str">
        <f>D18</f>
        <v>Foothill</v>
      </c>
      <c r="O36" s="533"/>
      <c r="P36" s="533"/>
    </row>
    <row r="37" spans="2:20">
      <c r="D37" s="292"/>
      <c r="E37" s="292"/>
      <c r="F37" s="62"/>
      <c r="G37" s="62"/>
      <c r="H37" s="62"/>
      <c r="I37" s="62"/>
      <c r="J37" s="62"/>
      <c r="K37" s="62"/>
      <c r="L37" s="62"/>
      <c r="M37" s="62"/>
    </row>
    <row r="39" spans="2:20">
      <c r="M39" s="538" t="s">
        <v>222</v>
      </c>
      <c r="N39" s="538"/>
      <c r="O39" s="538"/>
      <c r="P39" s="538"/>
      <c r="Q39" s="538"/>
      <c r="R39" s="538"/>
      <c r="S39" s="538"/>
    </row>
    <row r="40" spans="2:20">
      <c r="B40" s="541" t="s">
        <v>221</v>
      </c>
      <c r="C40" s="541"/>
      <c r="D40" s="541"/>
      <c r="E40" s="541"/>
      <c r="F40" s="541"/>
      <c r="G40" s="541"/>
      <c r="L40" s="324"/>
      <c r="M40" s="324"/>
      <c r="O40" s="533" t="str">
        <f>D3</f>
        <v>Foothill</v>
      </c>
      <c r="P40" s="533"/>
      <c r="Q40" s="533"/>
    </row>
    <row r="41" spans="2:20">
      <c r="D41" s="533" t="str">
        <f>D3</f>
        <v>Foothill</v>
      </c>
      <c r="E41" s="533"/>
      <c r="F41" s="533"/>
      <c r="O41" s="537">
        <f>'Phase calculation'!L49</f>
        <v>70.743033779477372</v>
      </c>
      <c r="P41" s="537"/>
      <c r="Q41" s="537"/>
    </row>
    <row r="42" spans="2:20">
      <c r="B42" s="136"/>
      <c r="C42" s="136"/>
      <c r="D42" s="312">
        <f>'Phase calculation'!N43</f>
        <v>1.3888888888888888E-2</v>
      </c>
      <c r="E42" s="137">
        <f>IF(X4=0,"N/A",'Phase calculation'!M43)</f>
        <v>0.6</v>
      </c>
      <c r="F42" s="137">
        <f>IF(Y4=0,"N/A",'Phase calculation'!L43)</f>
        <v>2.33</v>
      </c>
      <c r="G42" s="136"/>
      <c r="M42" s="260"/>
      <c r="N42" s="260"/>
      <c r="O42" s="317">
        <f>'Phase calculation'!N47</f>
        <v>11.34</v>
      </c>
      <c r="P42" s="261">
        <f>IF(X4=0,"N/A",'Phase calculation'!M47)</f>
        <v>18.779999999999998</v>
      </c>
      <c r="Q42" s="261">
        <f>IF(Y4=0,"N/A",'Phase calculation'!L47)</f>
        <v>677.66</v>
      </c>
      <c r="R42" s="260"/>
    </row>
    <row r="43" spans="2:20">
      <c r="B43" s="136"/>
      <c r="C43" s="136"/>
      <c r="D43" s="136"/>
      <c r="E43" s="136"/>
      <c r="F43" s="136"/>
      <c r="G43" s="136"/>
      <c r="M43" s="260"/>
      <c r="N43" s="260"/>
      <c r="O43" s="260"/>
      <c r="P43" s="260"/>
      <c r="Q43" s="260"/>
      <c r="R43" s="260"/>
    </row>
    <row r="44" spans="2:20">
      <c r="B44" s="136"/>
      <c r="C44" s="136"/>
      <c r="D44" s="136"/>
      <c r="E44" s="136"/>
      <c r="F44" s="136"/>
      <c r="G44" s="136"/>
      <c r="I44" s="17" t="s">
        <v>79</v>
      </c>
      <c r="M44" s="260"/>
      <c r="N44" s="260"/>
      <c r="O44" s="260"/>
      <c r="P44" s="260"/>
      <c r="Q44" s="260"/>
      <c r="R44" s="260"/>
      <c r="T44" s="17" t="s">
        <v>79</v>
      </c>
    </row>
    <row r="45" spans="2:20">
      <c r="B45" s="136"/>
      <c r="C45" s="136"/>
      <c r="D45" s="136"/>
      <c r="E45" s="136"/>
      <c r="F45" s="136"/>
      <c r="G45" s="136"/>
      <c r="M45" s="260"/>
      <c r="N45" s="260"/>
      <c r="O45" s="260"/>
      <c r="P45" s="260"/>
      <c r="Q45" s="260"/>
      <c r="R45" s="260"/>
    </row>
    <row r="46" spans="2:20">
      <c r="B46" s="136"/>
      <c r="C46" s="136"/>
      <c r="D46" s="136"/>
      <c r="E46" s="136"/>
      <c r="F46" s="136"/>
      <c r="G46" s="136"/>
      <c r="M46" s="260"/>
      <c r="N46" s="260"/>
      <c r="O46" s="260"/>
      <c r="P46" s="260"/>
      <c r="Q46" s="260"/>
      <c r="R46" s="260"/>
    </row>
    <row r="47" spans="2:20">
      <c r="B47" s="138">
        <f>IF(U9=0,"N/A",'Phase calculation'!C43)</f>
        <v>0.28000000000000003</v>
      </c>
      <c r="C47" s="136"/>
      <c r="H47" s="311">
        <f>'Phase calculation'!H43</f>
        <v>0.78961038961038965</v>
      </c>
      <c r="M47" s="262">
        <f>IF(U9=0,"N/A",'Phase calculation'!C47)</f>
        <v>60.93</v>
      </c>
      <c r="N47" s="260"/>
      <c r="P47" s="314"/>
      <c r="Q47" s="260"/>
      <c r="S47" s="318">
        <f>'Phase calculation'!H47</f>
        <v>65.63</v>
      </c>
    </row>
    <row r="48" spans="2:20">
      <c r="B48" s="136"/>
      <c r="C48" s="140"/>
      <c r="D48" s="544">
        <f>'Phase calculation'!T88</f>
        <v>0.92</v>
      </c>
      <c r="E48" s="544"/>
      <c r="F48" s="544"/>
      <c r="M48" s="260"/>
      <c r="N48" s="264"/>
      <c r="O48" s="539">
        <f>'Phase calculation'!T90</f>
        <v>312.76</v>
      </c>
      <c r="P48" s="539"/>
      <c r="Q48" s="539"/>
    </row>
    <row r="49" spans="1:21">
      <c r="A49" s="206" t="str">
        <f>A11</f>
        <v>Wakara</v>
      </c>
      <c r="B49" s="138">
        <f>IF(U11=0,"N/A",'Phase calculation'!D43)</f>
        <v>0</v>
      </c>
      <c r="C49" s="142"/>
      <c r="D49" s="544" t="str">
        <f>'Phase calculation'!C58</f>
        <v>Near Capacity</v>
      </c>
      <c r="E49" s="544"/>
      <c r="F49" s="544"/>
      <c r="H49" s="139">
        <f>IF(AA11=0,"N/A",'Phase calculation'!G43)</f>
        <v>0</v>
      </c>
      <c r="I49" s="206" t="str">
        <f>I11</f>
        <v>Wakara</v>
      </c>
      <c r="K49" s="206" t="str">
        <f>A11</f>
        <v>Wakara</v>
      </c>
      <c r="L49" s="403">
        <f>'Phase calculation'!C49</f>
        <v>55.707519999999995</v>
      </c>
      <c r="M49" s="262">
        <f>IF(U11=0,"N/A",'Phase calculation'!D47)</f>
        <v>0</v>
      </c>
      <c r="N49" s="266"/>
      <c r="O49" s="539"/>
      <c r="P49" s="539"/>
      <c r="Q49" s="539"/>
      <c r="S49" s="263">
        <f>IF(AA11=0,"N/A",'Phase calculation'!G47)</f>
        <v>0</v>
      </c>
      <c r="T49" s="403">
        <f>'Phase calculation'!F49</f>
        <v>731.79519061583574</v>
      </c>
      <c r="U49" s="206" t="str">
        <f>I11</f>
        <v>Wakara</v>
      </c>
    </row>
    <row r="50" spans="1:21">
      <c r="B50" s="136"/>
      <c r="C50" s="144"/>
      <c r="D50" s="145"/>
      <c r="E50" s="145"/>
      <c r="F50" s="145"/>
      <c r="G50" s="142"/>
      <c r="H50" s="141"/>
      <c r="M50" s="260"/>
      <c r="N50" s="268"/>
      <c r="O50" s="539"/>
      <c r="P50" s="539"/>
      <c r="Q50" s="539"/>
      <c r="R50" s="266"/>
      <c r="S50" s="265"/>
    </row>
    <row r="51" spans="1:21">
      <c r="B51" s="310">
        <f>'Phase calculation'!E43</f>
        <v>0.20553359683794467</v>
      </c>
      <c r="C51" s="31"/>
      <c r="D51" s="146"/>
      <c r="E51" s="146"/>
      <c r="F51" s="147"/>
      <c r="G51" s="145"/>
      <c r="H51" s="143">
        <f>IF(AA13=0,"N/A",'Phase calculation'!F43)</f>
        <v>3.53</v>
      </c>
      <c r="M51" s="313">
        <f>'Phase calculation'!E47</f>
        <v>54.199999999999996</v>
      </c>
      <c r="N51" s="270"/>
      <c r="O51" s="271"/>
      <c r="P51" s="271"/>
      <c r="Q51" s="272"/>
      <c r="R51" s="269"/>
      <c r="S51" s="267">
        <f>IF(AA13=0,"N/A",'Phase calculation'!F47)</f>
        <v>1197.28</v>
      </c>
    </row>
    <row r="52" spans="1:21">
      <c r="B52" s="136"/>
      <c r="C52" s="148"/>
      <c r="D52" s="145"/>
      <c r="E52" s="145"/>
      <c r="F52" s="145"/>
      <c r="G52" s="149"/>
      <c r="M52" s="260"/>
      <c r="N52" s="273"/>
      <c r="O52" s="269"/>
      <c r="P52" s="269"/>
      <c r="Q52" s="269"/>
      <c r="R52" s="274"/>
    </row>
    <row r="53" spans="1:21">
      <c r="B53" s="136"/>
      <c r="C53" s="150"/>
      <c r="D53" s="145"/>
      <c r="E53" s="145" t="s">
        <v>80</v>
      </c>
      <c r="F53" s="145"/>
      <c r="G53" s="145"/>
      <c r="M53" s="260"/>
      <c r="N53" s="275"/>
      <c r="O53" s="269"/>
      <c r="P53" s="269" t="s">
        <v>80</v>
      </c>
      <c r="Q53" s="269"/>
      <c r="R53" s="269"/>
    </row>
    <row r="54" spans="1:21">
      <c r="B54" s="136"/>
      <c r="C54" s="151"/>
      <c r="G54" s="145"/>
      <c r="M54" s="260"/>
      <c r="N54" s="276"/>
      <c r="Q54" s="269"/>
      <c r="R54" s="269"/>
    </row>
    <row r="55" spans="1:21">
      <c r="D55" s="152">
        <f>IF(W17=0,"N/A",'Phase calculation'!I43)</f>
        <v>0.3</v>
      </c>
      <c r="E55" s="153">
        <f>IF(X17=0,"N/A",'Phase calculation'!J43)</f>
        <v>0.31</v>
      </c>
      <c r="F55" s="152">
        <f>'Phase calculation'!K43</f>
        <v>8.7962962962962965E-2</v>
      </c>
      <c r="O55" s="277">
        <f>IF(W17=0,"N/A",'Phase calculation'!I47)</f>
        <v>27.43</v>
      </c>
      <c r="P55" s="278">
        <f>IF(X17=0,"N/A",'Phase calculation'!J47)</f>
        <v>14.16</v>
      </c>
      <c r="Q55" s="317">
        <f>'Phase calculation'!K47</f>
        <v>12.049999999999999</v>
      </c>
    </row>
    <row r="56" spans="1:21">
      <c r="D56" s="533" t="str">
        <f>D18</f>
        <v>Foothill</v>
      </c>
      <c r="E56" s="533"/>
      <c r="F56" s="533"/>
      <c r="O56" s="537">
        <f>'Phase calculation'!I49</f>
        <v>14.04986577181208</v>
      </c>
      <c r="P56" s="537"/>
      <c r="Q56" s="537"/>
    </row>
    <row r="57" spans="1:21">
      <c r="D57" s="88"/>
      <c r="E57" s="88"/>
      <c r="O57" s="533" t="str">
        <f>D18</f>
        <v>Foothill</v>
      </c>
      <c r="P57" s="533"/>
      <c r="Q57" s="533"/>
    </row>
    <row r="58" spans="1:21">
      <c r="G58" s="542" t="s">
        <v>223</v>
      </c>
      <c r="H58" s="542"/>
      <c r="I58" s="542"/>
      <c r="J58" s="542"/>
      <c r="K58" s="542"/>
      <c r="L58" s="542"/>
      <c r="M58" s="116"/>
    </row>
    <row r="59" spans="1:21">
      <c r="I59" s="533" t="str">
        <f>D3</f>
        <v>Foothill</v>
      </c>
      <c r="J59" s="533"/>
      <c r="K59" s="533"/>
    </row>
    <row r="60" spans="1:21" s="62" customFormat="1">
      <c r="I60" s="325"/>
      <c r="J60" s="159" t="str">
        <f>'Phase calculation'!L50</f>
        <v>E</v>
      </c>
      <c r="K60" s="325"/>
    </row>
    <row r="61" spans="1:21">
      <c r="G61" s="81"/>
      <c r="H61" s="81"/>
      <c r="I61" s="289" t="str">
        <f>'Phase calculation'!N48</f>
        <v>B</v>
      </c>
      <c r="J61" s="158" t="str">
        <f>'Phase calculation'!M48</f>
        <v>B</v>
      </c>
      <c r="K61" s="158" t="str">
        <f>'Phase calculation'!L48</f>
        <v>F</v>
      </c>
      <c r="L61" s="81"/>
      <c r="M61" s="5"/>
      <c r="P61" s="91" t="s">
        <v>142</v>
      </c>
      <c r="Q61" s="91" t="s">
        <v>224</v>
      </c>
    </row>
    <row r="62" spans="1:21">
      <c r="G62" s="81"/>
      <c r="H62" s="81"/>
      <c r="I62" s="81"/>
      <c r="J62" s="81"/>
      <c r="K62" s="81"/>
      <c r="L62" s="81"/>
      <c r="M62" s="5"/>
      <c r="P62" s="91" t="s">
        <v>145</v>
      </c>
      <c r="Q62" s="67"/>
    </row>
    <row r="63" spans="1:21">
      <c r="G63" s="81"/>
      <c r="H63" s="81"/>
      <c r="I63" s="81"/>
      <c r="J63" s="81"/>
      <c r="K63" s="81"/>
      <c r="L63" s="81"/>
      <c r="N63" s="17" t="s">
        <v>79</v>
      </c>
      <c r="P63" s="91" t="s">
        <v>146</v>
      </c>
      <c r="Q63" s="156"/>
    </row>
    <row r="64" spans="1:21">
      <c r="G64" s="81"/>
      <c r="H64" s="81"/>
      <c r="I64" s="81"/>
      <c r="J64" s="81"/>
      <c r="K64" s="81"/>
      <c r="L64" s="81"/>
      <c r="M64" s="5"/>
      <c r="P64" s="91" t="s">
        <v>147</v>
      </c>
      <c r="Q64" s="157"/>
    </row>
    <row r="65" spans="5:17">
      <c r="G65" s="81"/>
      <c r="H65" s="81"/>
      <c r="I65" s="81"/>
      <c r="J65" s="81"/>
      <c r="K65" s="81"/>
      <c r="L65" s="81"/>
      <c r="M65" s="5"/>
      <c r="P65" s="91" t="s">
        <v>148</v>
      </c>
      <c r="Q65" s="1"/>
    </row>
    <row r="66" spans="5:17" ht="15" customHeight="1">
      <c r="G66" s="316" t="str">
        <f>'Phase calculation'!C48</f>
        <v>E</v>
      </c>
      <c r="H66" s="81"/>
      <c r="J66" s="315"/>
      <c r="K66" s="81"/>
      <c r="M66" s="161" t="str">
        <f>'Phase calculation'!H48</f>
        <v>E</v>
      </c>
      <c r="P66" s="91" t="s">
        <v>149</v>
      </c>
      <c r="Q66" s="155"/>
    </row>
    <row r="67" spans="5:17" ht="15" customHeight="1">
      <c r="G67" s="82"/>
      <c r="H67" s="10"/>
      <c r="I67" s="543" t="str">
        <f>'Phase calculation'!U90</f>
        <v>F</v>
      </c>
      <c r="J67" s="543"/>
      <c r="K67" s="543"/>
      <c r="P67" s="91" t="s">
        <v>150</v>
      </c>
      <c r="Q67" s="59"/>
    </row>
    <row r="68" spans="5:17" ht="15" customHeight="1">
      <c r="E68" s="206" t="str">
        <f>A11</f>
        <v>Wakara</v>
      </c>
      <c r="F68" s="159" t="str">
        <f>'Phase calculation'!C50</f>
        <v>E</v>
      </c>
      <c r="G68" s="82" t="str">
        <f>'Phase calculation'!D48</f>
        <v>N/A</v>
      </c>
      <c r="H68" s="13"/>
      <c r="I68" s="543"/>
      <c r="J68" s="543"/>
      <c r="K68" s="543"/>
      <c r="M68" s="161" t="str">
        <f>'Phase calculation'!G48</f>
        <v>N/A</v>
      </c>
      <c r="N68" s="159" t="str">
        <f>'Phase calculation'!F50</f>
        <v>F</v>
      </c>
      <c r="O68" s="207" t="str">
        <f>I11</f>
        <v>Wakara</v>
      </c>
    </row>
    <row r="69" spans="5:17" ht="15" customHeight="1">
      <c r="G69" s="81"/>
      <c r="H69" s="104"/>
      <c r="I69" s="543"/>
      <c r="J69" s="543"/>
      <c r="K69" s="543"/>
      <c r="L69" s="13"/>
      <c r="M69" s="162"/>
      <c r="N69" s="10"/>
    </row>
    <row r="70" spans="5:17">
      <c r="G70" s="82" t="str">
        <f>'Phase calculation'!E48</f>
        <v>D</v>
      </c>
      <c r="H70" s="31"/>
      <c r="I70" s="32"/>
      <c r="J70" s="32"/>
      <c r="K70" s="154"/>
      <c r="L70" s="16"/>
      <c r="M70" s="162" t="str">
        <f>'Phase calculation'!F48</f>
        <v>F</v>
      </c>
      <c r="N70" s="10"/>
    </row>
    <row r="71" spans="5:17">
      <c r="G71" s="81"/>
      <c r="H71" s="35"/>
      <c r="I71" s="16"/>
      <c r="J71" s="16"/>
      <c r="K71" s="16"/>
      <c r="L71" s="105"/>
      <c r="M71" s="90"/>
    </row>
    <row r="72" spans="5:17">
      <c r="G72" s="81"/>
      <c r="H72" s="35"/>
      <c r="I72" s="16"/>
      <c r="J72" s="16" t="s">
        <v>80</v>
      </c>
      <c r="K72" s="16"/>
      <c r="L72" s="16"/>
      <c r="M72" s="15"/>
    </row>
    <row r="73" spans="5:17">
      <c r="G73" s="81"/>
      <c r="H73" s="23"/>
      <c r="K73" s="16"/>
      <c r="L73" s="16"/>
      <c r="M73" s="15"/>
    </row>
    <row r="74" spans="5:17">
      <c r="I74" s="159" t="str">
        <f>'Phase calculation'!I48</f>
        <v>C</v>
      </c>
      <c r="J74" s="160" t="str">
        <f>'Phase calculation'!J48</f>
        <v>B</v>
      </c>
      <c r="K74" s="289" t="str">
        <f>'Phase calculation'!K48</f>
        <v>B</v>
      </c>
    </row>
    <row r="75" spans="5:17">
      <c r="J75" s="159" t="str">
        <f>'Phase calculation'!I50</f>
        <v>B</v>
      </c>
    </row>
    <row r="76" spans="5:17" s="62" customFormat="1">
      <c r="I76" s="533" t="str">
        <f>D18</f>
        <v>Foothill</v>
      </c>
      <c r="J76" s="533"/>
      <c r="K76" s="533"/>
    </row>
    <row r="77" spans="5:17" ht="15.75" thickBot="1"/>
    <row r="78" spans="5:17" hidden="1"/>
    <row r="79" spans="5:17" s="225" customFormat="1" hidden="1"/>
    <row r="80" spans="5:17" s="225" customFormat="1" hidden="1"/>
    <row r="81" spans="6:19" s="225" customFormat="1" hidden="1"/>
    <row r="82" spans="6:19" s="225" customFormat="1" hidden="1">
      <c r="F82" s="226" t="s">
        <v>76</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hidden="1">
      <c r="F83" s="226" t="s">
        <v>127</v>
      </c>
      <c r="G83" s="226">
        <f>'Phase calculation'!C33</f>
        <v>7</v>
      </c>
      <c r="H83" s="226">
        <f>'Phase calculation'!D33</f>
        <v>4</v>
      </c>
      <c r="I83" s="226">
        <f>'Phase calculation'!F33</f>
        <v>3</v>
      </c>
      <c r="J83" s="226">
        <f>'Phase calculation'!G33</f>
        <v>8</v>
      </c>
      <c r="K83" s="226">
        <f>'Phase calculation'!I33</f>
        <v>0</v>
      </c>
      <c r="L83" s="226">
        <f>'Phase calculation'!J33</f>
        <v>2</v>
      </c>
      <c r="M83" s="226">
        <f>'Phase calculation'!L33</f>
        <v>0</v>
      </c>
      <c r="N83" s="226">
        <f>'Phase calculation'!M33</f>
        <v>6</v>
      </c>
    </row>
    <row r="84" spans="6:19" s="225" customFormat="1" hidden="1">
      <c r="F84" s="226" t="s">
        <v>326</v>
      </c>
      <c r="G84" s="226">
        <f>'Phase calculation'!C34</f>
        <v>9</v>
      </c>
      <c r="H84" s="226">
        <f>'Phase calculation'!D34</f>
        <v>31</v>
      </c>
      <c r="I84" s="226">
        <f>'Phase calculation'!F34</f>
        <v>23</v>
      </c>
      <c r="J84" s="226">
        <f>'Phase calculation'!G34</f>
        <v>45</v>
      </c>
      <c r="K84" s="226">
        <f>'Phase calculation'!I34</f>
        <v>0</v>
      </c>
      <c r="L84" s="226">
        <f>'Phase calculation'!J34</f>
        <v>96</v>
      </c>
      <c r="M84" s="226">
        <f>'Phase calculation'!L34</f>
        <v>0</v>
      </c>
      <c r="N84" s="226">
        <f>'Phase calculation'!M34</f>
        <v>96</v>
      </c>
    </row>
    <row r="85" spans="6:19" s="225" customFormat="1" hidden="1">
      <c r="F85" s="226" t="s">
        <v>152</v>
      </c>
      <c r="G85" s="226">
        <f>'Phase calculation'!C44</f>
        <v>109</v>
      </c>
      <c r="H85" s="226">
        <f>'Phase calculation'!D44</f>
        <v>507</v>
      </c>
      <c r="I85" s="226">
        <f>'Phase calculation'!F44</f>
        <v>247</v>
      </c>
      <c r="J85" s="226">
        <f>'Phase calculation'!G44</f>
        <v>1154</v>
      </c>
      <c r="K85" s="226">
        <f>'Phase calculation'!I44</f>
        <v>54</v>
      </c>
      <c r="L85" s="226">
        <f>'Phase calculation'!J44</f>
        <v>2590</v>
      </c>
      <c r="M85" s="226">
        <f>'Phase calculation'!L44</f>
        <v>58</v>
      </c>
      <c r="N85" s="226">
        <f>'Phase calculation'!M44</f>
        <v>2590</v>
      </c>
    </row>
    <row r="86" spans="6:19" s="225" customFormat="1" hidden="1">
      <c r="F86" s="226" t="s">
        <v>138</v>
      </c>
      <c r="G86" s="226">
        <f>'Phase calculation'!C43</f>
        <v>0.28000000000000003</v>
      </c>
      <c r="H86" s="226">
        <f>'Phase calculation'!D43</f>
        <v>0</v>
      </c>
      <c r="I86" s="226">
        <f>'Phase calculation'!F43</f>
        <v>3.53</v>
      </c>
      <c r="J86" s="226">
        <f>'Phase calculation'!G43</f>
        <v>0</v>
      </c>
      <c r="K86" s="226">
        <f>'Phase calculation'!I43</f>
        <v>0.3</v>
      </c>
      <c r="L86" s="226">
        <f>'Phase calculation'!J43</f>
        <v>0.31</v>
      </c>
      <c r="M86" s="226">
        <f>'Phase calculation'!L43</f>
        <v>2.33</v>
      </c>
      <c r="N86" s="226">
        <f>'Phase calculation'!M43</f>
        <v>0.6</v>
      </c>
    </row>
    <row r="87" spans="6:19" s="225" customFormat="1" hidden="1">
      <c r="F87" s="226" t="s">
        <v>153</v>
      </c>
      <c r="G87" s="226">
        <f>'Phase calculation'!C47</f>
        <v>60.93</v>
      </c>
      <c r="H87" s="226">
        <f>'Phase calculation'!D47</f>
        <v>0</v>
      </c>
      <c r="I87" s="226">
        <f>'Phase calculation'!F47</f>
        <v>1197.28</v>
      </c>
      <c r="J87" s="226">
        <f>'Phase calculation'!G47</f>
        <v>0</v>
      </c>
      <c r="K87" s="226">
        <f>'Phase calculation'!I47</f>
        <v>27.43</v>
      </c>
      <c r="L87" s="226">
        <f>'Phase calculation'!J47</f>
        <v>14.16</v>
      </c>
      <c r="M87" s="226">
        <f>'Phase calculation'!L47</f>
        <v>677.66</v>
      </c>
      <c r="N87" s="226">
        <f>'Phase calculation'!M47</f>
        <v>18.779999999999998</v>
      </c>
    </row>
    <row r="88" spans="6:19" s="225" customFormat="1" hidden="1">
      <c r="F88" s="226" t="s">
        <v>142</v>
      </c>
      <c r="G88" s="226" t="str">
        <f>'Phase calculation'!C48</f>
        <v>E</v>
      </c>
      <c r="H88" s="226" t="str">
        <f>'Phase calculation'!D48</f>
        <v>N/A</v>
      </c>
      <c r="I88" s="226" t="str">
        <f>'Phase calculation'!F48</f>
        <v>F</v>
      </c>
      <c r="J88" s="226" t="str">
        <f>'Phase calculation'!G48</f>
        <v>N/A</v>
      </c>
      <c r="K88" s="226" t="str">
        <f>'Phase calculation'!I48</f>
        <v>C</v>
      </c>
      <c r="L88" s="226" t="str">
        <f>'Phase calculation'!J48</f>
        <v>B</v>
      </c>
      <c r="M88" s="226" t="str">
        <f>'Phase calculation'!L48</f>
        <v>F</v>
      </c>
      <c r="N88" s="226" t="str">
        <f>'Phase calculation'!M48</f>
        <v>B</v>
      </c>
    </row>
    <row r="89" spans="6:19" s="225" customFormat="1" ht="15.75" hidden="1" thickBot="1">
      <c r="G89" s="227" t="s">
        <v>330</v>
      </c>
      <c r="H89" s="227" t="s">
        <v>331</v>
      </c>
      <c r="I89" s="227" t="s">
        <v>332</v>
      </c>
      <c r="J89" s="227" t="s">
        <v>333</v>
      </c>
      <c r="K89" s="227" t="s">
        <v>334</v>
      </c>
      <c r="L89" s="227" t="s">
        <v>335</v>
      </c>
      <c r="M89" s="227" t="s">
        <v>336</v>
      </c>
      <c r="N89" s="227" t="s">
        <v>337</v>
      </c>
    </row>
    <row r="90" spans="6:19" s="226" customFormat="1">
      <c r="F90" s="228" t="s">
        <v>127</v>
      </c>
      <c r="G90" s="228">
        <v>1</v>
      </c>
      <c r="H90" s="229">
        <v>2</v>
      </c>
      <c r="I90" s="229">
        <v>3</v>
      </c>
      <c r="J90" s="229">
        <v>4</v>
      </c>
      <c r="K90" s="229">
        <v>5</v>
      </c>
      <c r="L90" s="229">
        <v>6</v>
      </c>
      <c r="M90" s="229">
        <v>7</v>
      </c>
      <c r="N90" s="230">
        <v>8</v>
      </c>
    </row>
    <row r="91" spans="6:19" s="226" customFormat="1" hidden="1">
      <c r="F91" s="231" t="s">
        <v>127</v>
      </c>
      <c r="G91" s="231">
        <f>IF(OR(G83=G90,M83=G90),G90,0)</f>
        <v>0</v>
      </c>
      <c r="H91" s="232">
        <f>IF(OR(J83=H90,L83=H90),H90,0)</f>
        <v>2</v>
      </c>
      <c r="I91" s="232">
        <f>IF(OR(I83=I90,M83=I90),I90,0)</f>
        <v>3</v>
      </c>
      <c r="J91" s="232">
        <f>IF(OR(H83=J90,L83=J90),J90,0)</f>
        <v>4</v>
      </c>
      <c r="K91" s="232">
        <f>IF(OR(K83=K90,I83=K90),K90,0)</f>
        <v>0</v>
      </c>
      <c r="L91" s="232">
        <f>IF(OR(H83=L90,N83=L90),L90,0)</f>
        <v>6</v>
      </c>
      <c r="M91" s="232">
        <f>IF(OR(K83=M90,G83=M90),M90,0)</f>
        <v>7</v>
      </c>
      <c r="N91" s="233">
        <f>IF(OR(N83=N90,J83=N90),N90,0)</f>
        <v>8</v>
      </c>
    </row>
    <row r="92" spans="6:19" s="226" customFormat="1" hidden="1">
      <c r="F92" s="231" t="s">
        <v>325</v>
      </c>
      <c r="G92" s="231">
        <f>IF(G91=0,0,MATCH(G91,$G$83:$N$83,0))</f>
        <v>0</v>
      </c>
      <c r="H92" s="232">
        <f t="shared" ref="H92:N92" si="0">IF(H91=0,0,MATCH(H91,$G$83:$N$83,0))</f>
        <v>6</v>
      </c>
      <c r="I92" s="232">
        <f t="shared" si="0"/>
        <v>3</v>
      </c>
      <c r="J92" s="232">
        <f t="shared" si="0"/>
        <v>2</v>
      </c>
      <c r="K92" s="232">
        <f t="shared" si="0"/>
        <v>0</v>
      </c>
      <c r="L92" s="232">
        <f t="shared" si="0"/>
        <v>8</v>
      </c>
      <c r="M92" s="232">
        <f t="shared" si="0"/>
        <v>1</v>
      </c>
      <c r="N92" s="233">
        <f t="shared" si="0"/>
        <v>4</v>
      </c>
    </row>
    <row r="93" spans="6:19" s="226" customFormat="1">
      <c r="F93" s="540" t="s">
        <v>76</v>
      </c>
      <c r="G93" s="231" t="str">
        <f>IF(G92=0,"Not used",INDEX($G$82:$N$82,G92))</f>
        <v>Not used</v>
      </c>
      <c r="H93" s="232" t="str">
        <f t="shared" ref="H93:N93" si="1">IF(H92=0,"Not used",INDEX($G$82:$N$82,H92))</f>
        <v>NBT</v>
      </c>
      <c r="I93" s="232" t="str">
        <f t="shared" si="1"/>
        <v>WBL</v>
      </c>
      <c r="J93" s="232" t="str">
        <f t="shared" si="1"/>
        <v>EBT</v>
      </c>
      <c r="K93" s="232" t="str">
        <f t="shared" si="1"/>
        <v>Not used</v>
      </c>
      <c r="L93" s="232" t="str">
        <f t="shared" si="1"/>
        <v>SBT</v>
      </c>
      <c r="M93" s="232" t="str">
        <f t="shared" si="1"/>
        <v>EBL</v>
      </c>
      <c r="N93" s="233" t="str">
        <f t="shared" si="1"/>
        <v>WBT</v>
      </c>
    </row>
    <row r="94" spans="6:19" s="226" customFormat="1" ht="25.5">
      <c r="F94" s="540"/>
      <c r="G94" s="234" t="str">
        <f t="shared" ref="G94:N94" si="2">IF(G92=0,"",INDEX($G$89:$N$89,G92))</f>
        <v/>
      </c>
      <c r="H94" s="235" t="str">
        <f t="shared" si="2"/>
        <v>ñ</v>
      </c>
      <c r="I94" s="235" t="str">
        <f t="shared" si="2"/>
        <v>÷</v>
      </c>
      <c r="J94" s="235" t="str">
        <f t="shared" si="2"/>
        <v>ð</v>
      </c>
      <c r="K94" s="235" t="str">
        <f t="shared" si="2"/>
        <v/>
      </c>
      <c r="L94" s="235" t="str">
        <f t="shared" si="2"/>
        <v>ò</v>
      </c>
      <c r="M94" s="235" t="str">
        <f t="shared" si="2"/>
        <v>ö</v>
      </c>
      <c r="N94" s="236" t="str">
        <f t="shared" si="2"/>
        <v>ï</v>
      </c>
      <c r="S94" s="227"/>
    </row>
    <row r="95" spans="6:19" s="226" customFormat="1">
      <c r="F95" s="231" t="s">
        <v>327</v>
      </c>
      <c r="G95" s="231" t="str">
        <f>IF(G92=0,"Not used",INDEX($G$84:$N$84,G92))</f>
        <v>Not used</v>
      </c>
      <c r="H95" s="232">
        <f t="shared" ref="H95:N95" si="3">IF(H92=0,"Not used",INDEX($G$84:$N$84,H92))</f>
        <v>96</v>
      </c>
      <c r="I95" s="232">
        <f t="shared" si="3"/>
        <v>23</v>
      </c>
      <c r="J95" s="232">
        <f t="shared" si="3"/>
        <v>31</v>
      </c>
      <c r="K95" s="232" t="str">
        <f t="shared" si="3"/>
        <v>Not used</v>
      </c>
      <c r="L95" s="232">
        <f t="shared" si="3"/>
        <v>96</v>
      </c>
      <c r="M95" s="232">
        <f t="shared" si="3"/>
        <v>9</v>
      </c>
      <c r="N95" s="233">
        <f t="shared" si="3"/>
        <v>45</v>
      </c>
    </row>
    <row r="96" spans="6:19" s="226" customFormat="1">
      <c r="F96" s="231" t="s">
        <v>328</v>
      </c>
      <c r="G96" s="231" t="str">
        <f>IF(G92=0,"Not used",INDEX($G$85:$N$85,G92))</f>
        <v>Not used</v>
      </c>
      <c r="H96" s="232">
        <f t="shared" ref="H96:N96" si="4">IF(H92=0,"Not used",INDEX($G$85:$N$85,H92))</f>
        <v>2590</v>
      </c>
      <c r="I96" s="232">
        <f t="shared" si="4"/>
        <v>247</v>
      </c>
      <c r="J96" s="232">
        <f t="shared" si="4"/>
        <v>507</v>
      </c>
      <c r="K96" s="232" t="str">
        <f t="shared" si="4"/>
        <v>Not used</v>
      </c>
      <c r="L96" s="232">
        <f t="shared" si="4"/>
        <v>2590</v>
      </c>
      <c r="M96" s="232">
        <f t="shared" si="4"/>
        <v>109</v>
      </c>
      <c r="N96" s="233">
        <f t="shared" si="4"/>
        <v>1154</v>
      </c>
    </row>
    <row r="97" spans="6:14" s="226" customFormat="1">
      <c r="F97" s="231" t="s">
        <v>138</v>
      </c>
      <c r="G97" s="231" t="str">
        <f>IF(G92=0,"Not used",INDEX($G$86:$N$86,G92))</f>
        <v>Not used</v>
      </c>
      <c r="H97" s="232">
        <f t="shared" ref="H97:N97" si="5">IF(H92=0,"Not used",INDEX($G$86:$N$86,H92))</f>
        <v>0.31</v>
      </c>
      <c r="I97" s="232">
        <f t="shared" si="5"/>
        <v>3.53</v>
      </c>
      <c r="J97" s="232">
        <f t="shared" si="5"/>
        <v>0</v>
      </c>
      <c r="K97" s="232" t="str">
        <f t="shared" si="5"/>
        <v>Not used</v>
      </c>
      <c r="L97" s="232">
        <f t="shared" si="5"/>
        <v>0.6</v>
      </c>
      <c r="M97" s="232">
        <f t="shared" si="5"/>
        <v>0.28000000000000003</v>
      </c>
      <c r="N97" s="233">
        <f t="shared" si="5"/>
        <v>0</v>
      </c>
    </row>
    <row r="98" spans="6:14" s="226" customFormat="1">
      <c r="F98" s="231" t="s">
        <v>329</v>
      </c>
      <c r="G98" s="231" t="str">
        <f>IF(G92=0,"Not used",INDEX($G$87:$N$87,G92))</f>
        <v>Not used</v>
      </c>
      <c r="H98" s="232">
        <f t="shared" ref="H98:N98" si="6">IF(H92=0,"Not used",INDEX($G$87:$N$87,H92))</f>
        <v>14.16</v>
      </c>
      <c r="I98" s="232">
        <f t="shared" si="6"/>
        <v>1197.28</v>
      </c>
      <c r="J98" s="232">
        <f t="shared" si="6"/>
        <v>0</v>
      </c>
      <c r="K98" s="232" t="str">
        <f t="shared" si="6"/>
        <v>Not used</v>
      </c>
      <c r="L98" s="232">
        <f t="shared" si="6"/>
        <v>18.779999999999998</v>
      </c>
      <c r="M98" s="232">
        <f t="shared" si="6"/>
        <v>60.93</v>
      </c>
      <c r="N98" s="233">
        <f t="shared" si="6"/>
        <v>0</v>
      </c>
    </row>
    <row r="99" spans="6:14" s="226" customFormat="1" ht="15.75" thickBot="1">
      <c r="F99" s="237" t="s">
        <v>142</v>
      </c>
      <c r="G99" s="237" t="str">
        <f>IF(G92=0,"Not used",INDEX($G$88:$N$88,G92))</f>
        <v>Not used</v>
      </c>
      <c r="H99" s="238" t="str">
        <f t="shared" ref="H99:N99" si="7">IF(H92=0,"Not used",INDEX($G$88:$N$88,H92))</f>
        <v>B</v>
      </c>
      <c r="I99" s="238" t="str">
        <f t="shared" si="7"/>
        <v>F</v>
      </c>
      <c r="J99" s="238" t="str">
        <f t="shared" si="7"/>
        <v>N/A</v>
      </c>
      <c r="K99" s="238" t="str">
        <f t="shared" si="7"/>
        <v>Not used</v>
      </c>
      <c r="L99" s="238" t="str">
        <f t="shared" si="7"/>
        <v>B</v>
      </c>
      <c r="M99" s="238" t="str">
        <f t="shared" si="7"/>
        <v>E</v>
      </c>
      <c r="N99" s="239" t="str">
        <f t="shared" si="7"/>
        <v>N/A</v>
      </c>
    </row>
    <row r="100" spans="6:14" s="226" customFormat="1"/>
    <row r="101" spans="6:14" s="226" customFormat="1"/>
    <row r="102" spans="6:14" s="226" customFormat="1"/>
    <row r="103" spans="6:14" s="226" customFormat="1"/>
    <row r="104" spans="6:14" s="226" customFormat="1"/>
    <row r="105" spans="6:14" s="226" customFormat="1"/>
    <row r="106" spans="6:14" s="226" customFormat="1"/>
    <row r="107" spans="6:14" s="226" customFormat="1"/>
    <row r="108" spans="6:14" s="226" customFormat="1"/>
    <row r="109" spans="6:14" s="226" customFormat="1"/>
    <row r="110" spans="6:14" s="226" customFormat="1"/>
    <row r="111" spans="6:14" s="226" customFormat="1"/>
    <row r="112" spans="6:14" s="226" customFormat="1"/>
    <row r="113" s="226" customFormat="1"/>
    <row r="114" s="226" customFormat="1"/>
    <row r="115" s="225" customFormat="1"/>
    <row r="116" s="225" customFormat="1"/>
    <row r="117" s="225" customFormat="1"/>
    <row r="118" s="225" customFormat="1"/>
    <row r="119" s="225" customFormat="1"/>
    <row r="120" s="225" customFormat="1"/>
    <row r="121" s="225" customFormat="1"/>
    <row r="122" s="225" customFormat="1"/>
    <row r="123" s="225" customFormat="1"/>
    <row r="124" s="225" customFormat="1"/>
    <row r="125" s="225" customFormat="1"/>
    <row r="126" s="225" customFormat="1"/>
    <row r="127" s="225" customFormat="1"/>
    <row r="128" s="225" customFormat="1"/>
    <row r="129" s="225" customFormat="1"/>
    <row r="130" s="225" customFormat="1"/>
    <row r="131" s="225" customFormat="1"/>
    <row r="132" s="225" customFormat="1"/>
    <row r="133" s="225" customFormat="1"/>
    <row r="134" s="225" customFormat="1"/>
    <row r="135" s="225" customFormat="1"/>
    <row r="136" s="225" customFormat="1"/>
    <row r="137" s="225" customFormat="1"/>
    <row r="138" s="225" customFormat="1"/>
    <row r="139" s="225" customFormat="1"/>
    <row r="140" s="225" customFormat="1"/>
    <row r="141" s="225" customFormat="1"/>
    <row r="142" s="225" customFormat="1"/>
    <row r="143" s="225" customFormat="1"/>
    <row r="144" s="225" customFormat="1"/>
    <row r="145" s="225" customFormat="1"/>
    <row r="146" s="225" customFormat="1"/>
    <row r="147" s="225" customFormat="1"/>
    <row r="148" s="225" customFormat="1"/>
    <row r="149" s="225" customFormat="1"/>
    <row r="150" s="225" customFormat="1"/>
    <row r="151" s="225" customFormat="1"/>
    <row r="152" s="225" customFormat="1"/>
    <row r="153" s="225" customFormat="1"/>
    <row r="154" s="225" customFormat="1"/>
    <row r="155" s="225" customFormat="1"/>
    <row r="156" s="225" customFormat="1"/>
    <row r="157" s="225" customFormat="1"/>
    <row r="158" s="225" customFormat="1"/>
    <row r="159" s="225" customFormat="1"/>
    <row r="160" s="225" customFormat="1"/>
    <row r="161" s="225" customFormat="1"/>
    <row r="162" s="225" customFormat="1"/>
    <row r="163" s="225" customFormat="1"/>
    <row r="164" s="225" customFormat="1"/>
    <row r="165" s="225" customFormat="1"/>
    <row r="166" s="225" customFormat="1"/>
    <row r="167" s="225" customFormat="1"/>
    <row r="168" s="225" customFormat="1"/>
    <row r="169" s="225" customFormat="1"/>
    <row r="170" s="225" customFormat="1"/>
    <row r="171" s="225" customFormat="1"/>
    <row r="172" s="225" customFormat="1"/>
    <row r="173" s="225" customFormat="1"/>
    <row r="174" s="225" customFormat="1"/>
    <row r="175" s="225" customFormat="1"/>
    <row r="176" s="225" customFormat="1"/>
    <row r="177" s="225" customFormat="1"/>
    <row r="178" s="225" customFormat="1"/>
    <row r="179" s="225" customFormat="1"/>
    <row r="180" s="225" customFormat="1"/>
    <row r="181" s="225" customFormat="1"/>
    <row r="182" s="225" customFormat="1"/>
    <row r="183" s="225" customFormat="1"/>
    <row r="184" s="225" customFormat="1"/>
    <row r="185" s="225" customFormat="1"/>
    <row r="186" s="225" customFormat="1"/>
    <row r="187" s="225" customFormat="1"/>
    <row r="188" s="225" customFormat="1"/>
    <row r="189" s="225" customFormat="1"/>
    <row r="190" s="225" customFormat="1"/>
    <row r="191" s="225" customFormat="1"/>
    <row r="192" s="225" customFormat="1"/>
    <row r="193" s="225" customFormat="1"/>
    <row r="194" s="225" customFormat="1"/>
    <row r="195" s="225" customFormat="1"/>
    <row r="196" s="225" customFormat="1"/>
    <row r="197" s="225" customFormat="1"/>
    <row r="198" s="225" customFormat="1"/>
    <row r="199" s="225" customFormat="1"/>
    <row r="200" s="225" customFormat="1"/>
    <row r="201" s="225" customFormat="1"/>
    <row r="202" s="225" customFormat="1"/>
    <row r="203" s="225" customFormat="1"/>
    <row r="204" s="225" customFormat="1"/>
    <row r="205" s="225" customFormat="1"/>
    <row r="206" s="225" customFormat="1"/>
    <row r="207" s="225" customFormat="1"/>
    <row r="208" s="225" customFormat="1"/>
    <row r="209" s="225" customFormat="1"/>
    <row r="210" s="225" customFormat="1"/>
    <row r="211" s="225" customFormat="1"/>
    <row r="212" s="225" customFormat="1"/>
    <row r="213" s="225" customFormat="1"/>
    <row r="214" s="225" customFormat="1"/>
    <row r="215" s="225" customFormat="1"/>
    <row r="216" s="225" customFormat="1"/>
    <row r="217" s="225" customFormat="1"/>
    <row r="218" s="225" customFormat="1"/>
    <row r="219" s="225" customFormat="1"/>
    <row r="220" s="225" customFormat="1"/>
    <row r="221" s="225" customFormat="1"/>
    <row r="222" s="225" customFormat="1"/>
    <row r="223" s="225" customFormat="1"/>
    <row r="224" s="225" customFormat="1"/>
    <row r="225" s="225" customFormat="1"/>
    <row r="226" s="225" customFormat="1"/>
    <row r="227" s="225" customFormat="1"/>
    <row r="228" s="225" customFormat="1"/>
    <row r="229" s="225" customFormat="1"/>
    <row r="230" s="225" customFormat="1"/>
    <row r="231" s="225" customFormat="1"/>
    <row r="232" s="225" customFormat="1"/>
    <row r="233" s="225" customFormat="1"/>
    <row r="234" s="225" customFormat="1"/>
    <row r="235" s="225" customFormat="1"/>
    <row r="236" s="225" customFormat="1"/>
    <row r="237" s="225" customFormat="1"/>
    <row r="238" s="225" customFormat="1"/>
    <row r="239" s="225" customFormat="1"/>
    <row r="240" s="225" customFormat="1"/>
    <row r="241" s="225" customFormat="1"/>
    <row r="242" s="225" customFormat="1"/>
    <row r="243" s="225" customFormat="1"/>
    <row r="244" s="225" customFormat="1"/>
    <row r="245" s="225" customFormat="1"/>
    <row r="246" s="225" customFormat="1"/>
    <row r="247" s="225" customFormat="1"/>
    <row r="248" s="225" customFormat="1"/>
  </sheetData>
  <mergeCells count="30">
    <mergeCell ref="O40:Q40"/>
    <mergeCell ref="M39:S39"/>
    <mergeCell ref="O41:Q41"/>
    <mergeCell ref="O48:Q50"/>
    <mergeCell ref="F93:F94"/>
    <mergeCell ref="D41:F41"/>
    <mergeCell ref="D56:F56"/>
    <mergeCell ref="B40:G40"/>
    <mergeCell ref="G58:L58"/>
    <mergeCell ref="I76:K76"/>
    <mergeCell ref="I67:K69"/>
    <mergeCell ref="I59:K59"/>
    <mergeCell ref="D48:F48"/>
    <mergeCell ref="D49:F49"/>
    <mergeCell ref="U2:AA2"/>
    <mergeCell ref="D3:F3"/>
    <mergeCell ref="D18:F18"/>
    <mergeCell ref="O57:Q57"/>
    <mergeCell ref="L2:Q2"/>
    <mergeCell ref="B2:H2"/>
    <mergeCell ref="B20:G20"/>
    <mergeCell ref="L20:Q20"/>
    <mergeCell ref="N18:P18"/>
    <mergeCell ref="N3:P3"/>
    <mergeCell ref="N21:P21"/>
    <mergeCell ref="N36:P36"/>
    <mergeCell ref="D21:F21"/>
    <mergeCell ref="E28:E30"/>
    <mergeCell ref="O56:Q56"/>
    <mergeCell ref="D36:F3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sheetPr codeName="Sheet10"/>
  <dimension ref="A2:G11"/>
  <sheetViews>
    <sheetView workbookViewId="0">
      <selection activeCell="A7" sqref="A7:IV7"/>
    </sheetView>
  </sheetViews>
  <sheetFormatPr defaultRowHeight="15"/>
  <cols>
    <col min="1" max="1" width="21.5703125" bestFit="1" customWidth="1"/>
  </cols>
  <sheetData>
    <row r="2" spans="1:7">
      <c r="C2" s="545" t="s">
        <v>284</v>
      </c>
      <c r="D2" s="545"/>
      <c r="E2" s="545"/>
      <c r="F2" s="545"/>
      <c r="G2" s="545"/>
    </row>
    <row r="3" spans="1:7">
      <c r="A3" t="s">
        <v>283</v>
      </c>
      <c r="B3" s="1" t="s">
        <v>264</v>
      </c>
      <c r="C3" s="76">
        <v>30</v>
      </c>
      <c r="D3" s="76">
        <v>50</v>
      </c>
      <c r="E3" s="76">
        <v>70</v>
      </c>
      <c r="F3" s="76">
        <v>90</v>
      </c>
      <c r="G3" s="76">
        <v>110</v>
      </c>
    </row>
    <row r="4" spans="1:7">
      <c r="A4">
        <v>25</v>
      </c>
      <c r="B4">
        <v>3</v>
      </c>
      <c r="C4">
        <v>1.4</v>
      </c>
      <c r="D4">
        <v>1.9</v>
      </c>
      <c r="E4">
        <v>2.5</v>
      </c>
      <c r="F4">
        <v>3</v>
      </c>
      <c r="G4">
        <v>3.5</v>
      </c>
    </row>
    <row r="5" spans="1:7">
      <c r="A5">
        <v>30</v>
      </c>
      <c r="B5">
        <v>3.2</v>
      </c>
      <c r="C5">
        <v>1.1000000000000001</v>
      </c>
      <c r="D5">
        <v>1.6</v>
      </c>
      <c r="E5">
        <v>2</v>
      </c>
      <c r="F5">
        <v>2.5</v>
      </c>
      <c r="G5">
        <v>3</v>
      </c>
    </row>
    <row r="6" spans="1:7">
      <c r="A6">
        <v>35</v>
      </c>
      <c r="B6">
        <v>3.6</v>
      </c>
      <c r="C6">
        <v>1</v>
      </c>
      <c r="D6">
        <v>1.4</v>
      </c>
      <c r="E6">
        <v>1.8</v>
      </c>
      <c r="F6">
        <v>2.1</v>
      </c>
      <c r="G6">
        <v>2.5</v>
      </c>
    </row>
    <row r="7" spans="1:7">
      <c r="A7">
        <v>40</v>
      </c>
      <c r="B7">
        <v>3.9</v>
      </c>
      <c r="C7">
        <v>0.9</v>
      </c>
      <c r="D7">
        <v>1.2</v>
      </c>
      <c r="E7">
        <v>1.5</v>
      </c>
      <c r="F7">
        <v>1.9</v>
      </c>
      <c r="G7">
        <v>2.2000000000000002</v>
      </c>
    </row>
    <row r="8" spans="1:7">
      <c r="A8">
        <v>45</v>
      </c>
      <c r="B8">
        <v>4.3</v>
      </c>
      <c r="C8">
        <v>0.8</v>
      </c>
      <c r="D8">
        <v>1.1000000000000001</v>
      </c>
      <c r="E8">
        <v>1.4</v>
      </c>
      <c r="F8">
        <v>1.7</v>
      </c>
      <c r="G8">
        <v>2</v>
      </c>
    </row>
    <row r="9" spans="1:7">
      <c r="A9">
        <v>50</v>
      </c>
      <c r="B9">
        <v>4.7</v>
      </c>
      <c r="C9">
        <v>0.7</v>
      </c>
      <c r="D9">
        <v>1</v>
      </c>
      <c r="E9">
        <v>1.2</v>
      </c>
      <c r="F9">
        <v>1.5</v>
      </c>
      <c r="G9">
        <v>1.8</v>
      </c>
    </row>
    <row r="10" spans="1:7">
      <c r="A10">
        <v>55</v>
      </c>
      <c r="B10">
        <v>5</v>
      </c>
      <c r="C10">
        <v>0.6</v>
      </c>
      <c r="D10">
        <v>0.9</v>
      </c>
      <c r="E10">
        <v>1.1000000000000001</v>
      </c>
      <c r="F10">
        <v>1.4</v>
      </c>
      <c r="G10">
        <v>1.6</v>
      </c>
    </row>
    <row r="11" spans="1:7">
      <c r="A11">
        <v>60</v>
      </c>
      <c r="B11">
        <v>5.4</v>
      </c>
      <c r="C11">
        <v>0.6</v>
      </c>
      <c r="D11">
        <v>0.8</v>
      </c>
      <c r="E11">
        <v>1</v>
      </c>
      <c r="F11">
        <v>1.2</v>
      </c>
      <c r="G11">
        <v>1.5</v>
      </c>
    </row>
  </sheetData>
  <mergeCells count="1">
    <mergeCell ref="C2:G2"/>
  </mergeCell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1"/>
  <dimension ref="B1:I31"/>
  <sheetViews>
    <sheetView workbookViewId="0">
      <selection activeCell="A27" sqref="A27:IV31"/>
    </sheetView>
  </sheetViews>
  <sheetFormatPr defaultRowHeight="1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c r="B1" s="546" t="s">
        <v>315</v>
      </c>
      <c r="C1" s="546"/>
      <c r="D1" s="546"/>
    </row>
    <row r="2" spans="2:9">
      <c r="B2" s="210"/>
      <c r="C2" s="546" t="s">
        <v>301</v>
      </c>
      <c r="D2" s="546"/>
    </row>
    <row r="3" spans="2:9">
      <c r="B3" s="208" t="s">
        <v>300</v>
      </c>
      <c r="C3" s="171">
        <v>3</v>
      </c>
      <c r="D3" s="208">
        <v>4</v>
      </c>
      <c r="G3" s="220" t="s">
        <v>300</v>
      </c>
      <c r="H3" s="223" t="s">
        <v>316</v>
      </c>
      <c r="I3" s="43" t="s">
        <v>317</v>
      </c>
    </row>
    <row r="4" spans="2:9">
      <c r="B4" s="209">
        <v>20</v>
      </c>
      <c r="C4" s="210">
        <v>90</v>
      </c>
      <c r="D4" s="209">
        <v>115</v>
      </c>
      <c r="G4" s="221">
        <v>25</v>
      </c>
      <c r="H4" s="65">
        <v>60</v>
      </c>
      <c r="I4" s="222">
        <v>0.8</v>
      </c>
    </row>
    <row r="5" spans="2:9">
      <c r="B5" s="209">
        <v>25</v>
      </c>
      <c r="C5" s="210">
        <v>110</v>
      </c>
      <c r="D5" s="209">
        <v>145</v>
      </c>
      <c r="G5" s="221">
        <v>30</v>
      </c>
      <c r="H5" s="65">
        <v>60</v>
      </c>
      <c r="I5" s="222">
        <v>2.1</v>
      </c>
    </row>
    <row r="6" spans="2:9">
      <c r="B6" s="209">
        <v>30</v>
      </c>
      <c r="C6" s="210">
        <v>130</v>
      </c>
      <c r="D6" s="209">
        <v>175</v>
      </c>
      <c r="G6" s="221">
        <v>35</v>
      </c>
      <c r="H6" s="65">
        <v>55</v>
      </c>
      <c r="I6" s="222">
        <v>1</v>
      </c>
    </row>
    <row r="7" spans="2:9">
      <c r="B7" s="209">
        <v>35</v>
      </c>
      <c r="C7" s="210">
        <v>155</v>
      </c>
      <c r="D7" s="209">
        <v>205</v>
      </c>
      <c r="G7" s="221">
        <v>40</v>
      </c>
      <c r="H7" s="65">
        <v>70</v>
      </c>
      <c r="I7" s="222">
        <v>1.6</v>
      </c>
    </row>
    <row r="8" spans="2:9">
      <c r="B8" s="209">
        <v>40</v>
      </c>
      <c r="C8" s="210">
        <v>180</v>
      </c>
      <c r="D8" s="209">
        <v>235</v>
      </c>
      <c r="G8" s="221">
        <v>45</v>
      </c>
      <c r="H8" s="65">
        <v>75</v>
      </c>
      <c r="I8" s="222">
        <v>1</v>
      </c>
    </row>
    <row r="9" spans="2:9">
      <c r="B9" s="209">
        <v>45</v>
      </c>
      <c r="C9" s="210">
        <v>200</v>
      </c>
      <c r="D9" s="209">
        <v>265</v>
      </c>
      <c r="G9" s="221">
        <v>50</v>
      </c>
      <c r="H9" s="65">
        <v>75</v>
      </c>
      <c r="I9" s="222">
        <v>1</v>
      </c>
    </row>
    <row r="10" spans="2:9">
      <c r="B10" s="209">
        <v>50</v>
      </c>
      <c r="D10" s="209">
        <v>265</v>
      </c>
      <c r="G10" s="221">
        <v>55</v>
      </c>
      <c r="H10" s="65">
        <v>75</v>
      </c>
      <c r="I10" s="222">
        <v>1</v>
      </c>
    </row>
    <row r="11" spans="2:9">
      <c r="B11" s="209">
        <v>55</v>
      </c>
      <c r="D11" s="209">
        <v>265</v>
      </c>
    </row>
    <row r="16" spans="2:9">
      <c r="B16" s="222" t="s">
        <v>319</v>
      </c>
      <c r="C16" s="508" t="s">
        <v>320</v>
      </c>
      <c r="D16" s="508"/>
      <c r="E16" s="508"/>
      <c r="F16" s="508"/>
      <c r="G16" s="508"/>
      <c r="H16" s="508"/>
      <c r="I16" s="508"/>
    </row>
    <row r="17" spans="2:9">
      <c r="B17" t="s">
        <v>318</v>
      </c>
      <c r="C17" s="221">
        <v>25</v>
      </c>
      <c r="D17" s="221">
        <v>30</v>
      </c>
      <c r="E17" s="221">
        <v>35</v>
      </c>
      <c r="F17" s="221">
        <v>40</v>
      </c>
      <c r="G17" s="221">
        <v>45</v>
      </c>
      <c r="H17" s="221">
        <v>50</v>
      </c>
      <c r="I17" s="221">
        <v>55</v>
      </c>
    </row>
    <row r="18" spans="2:9">
      <c r="B18" s="65">
        <v>55</v>
      </c>
      <c r="C18" s="222">
        <v>1.7</v>
      </c>
      <c r="D18" s="222">
        <v>2.1</v>
      </c>
      <c r="E18" s="222">
        <v>2.2999999999999998</v>
      </c>
      <c r="F18" s="222">
        <v>2.6</v>
      </c>
      <c r="G18" s="222">
        <v>2.7</v>
      </c>
      <c r="H18" s="222">
        <v>2.7</v>
      </c>
      <c r="I18" s="222">
        <v>2.7</v>
      </c>
    </row>
    <row r="19" spans="2:9">
      <c r="B19" s="65">
        <v>60</v>
      </c>
      <c r="C19" s="222">
        <v>1.5</v>
      </c>
      <c r="D19" s="222">
        <v>2</v>
      </c>
      <c r="E19" s="222">
        <v>2.2000000000000002</v>
      </c>
      <c r="F19" s="222">
        <v>2.5</v>
      </c>
      <c r="G19" s="222">
        <v>2.6</v>
      </c>
      <c r="H19" s="222">
        <v>2.6</v>
      </c>
      <c r="I19" s="222">
        <v>2.6</v>
      </c>
    </row>
    <row r="20" spans="2:9">
      <c r="B20" s="65">
        <v>65</v>
      </c>
      <c r="C20" s="222">
        <v>1.4</v>
      </c>
      <c r="D20" s="222">
        <v>1.8</v>
      </c>
      <c r="E20" s="222">
        <v>2.1</v>
      </c>
      <c r="F20" s="222">
        <v>2.4</v>
      </c>
      <c r="G20" s="222">
        <v>2.5</v>
      </c>
      <c r="H20" s="222">
        <v>2.5</v>
      </c>
      <c r="I20" s="222">
        <v>2.5</v>
      </c>
    </row>
    <row r="21" spans="2:9">
      <c r="B21" s="65">
        <v>70</v>
      </c>
      <c r="C21" s="222">
        <v>1.2</v>
      </c>
      <c r="D21" s="222">
        <v>1.7</v>
      </c>
      <c r="E21" s="222">
        <v>2</v>
      </c>
      <c r="F21" s="222">
        <v>2.2999999999999998</v>
      </c>
      <c r="G21" s="222">
        <v>2.4</v>
      </c>
      <c r="H21" s="222">
        <v>2.4</v>
      </c>
      <c r="I21" s="222">
        <v>2.4</v>
      </c>
    </row>
    <row r="22" spans="2:9">
      <c r="B22" s="65">
        <v>75</v>
      </c>
      <c r="C22" s="222">
        <v>1.1000000000000001</v>
      </c>
      <c r="D22" s="222">
        <v>1.6</v>
      </c>
      <c r="E22" s="222">
        <v>1.9</v>
      </c>
      <c r="F22" s="222">
        <v>2.2000000000000002</v>
      </c>
      <c r="G22" s="222">
        <v>2.4</v>
      </c>
      <c r="H22" s="222">
        <v>2.4</v>
      </c>
      <c r="I22" s="222">
        <v>2.4</v>
      </c>
    </row>
    <row r="25" spans="2:9">
      <c r="B25" s="222" t="s">
        <v>323</v>
      </c>
      <c r="C25" s="508" t="s">
        <v>324</v>
      </c>
      <c r="D25" s="508"/>
      <c r="E25" s="508"/>
      <c r="F25" s="508"/>
      <c r="G25" s="508"/>
      <c r="H25" s="508"/>
      <c r="I25" s="508"/>
    </row>
    <row r="26" spans="2:9">
      <c r="B26" t="s">
        <v>318</v>
      </c>
      <c r="C26" s="221">
        <v>25</v>
      </c>
      <c r="D26" s="221">
        <v>30</v>
      </c>
      <c r="E26" s="221">
        <v>35</v>
      </c>
      <c r="F26" s="221">
        <v>40</v>
      </c>
      <c r="G26" s="221">
        <v>45</v>
      </c>
      <c r="H26" s="221">
        <v>50</v>
      </c>
      <c r="I26" s="221">
        <v>55</v>
      </c>
    </row>
    <row r="27" spans="2:9">
      <c r="B27" s="65">
        <v>55</v>
      </c>
      <c r="C27" s="222">
        <v>0</v>
      </c>
      <c r="D27" s="222">
        <v>0.1</v>
      </c>
      <c r="E27" s="222">
        <v>0.3</v>
      </c>
      <c r="F27" s="222">
        <v>0.6</v>
      </c>
      <c r="G27" s="222">
        <v>0.7</v>
      </c>
      <c r="H27" s="222">
        <v>0.7</v>
      </c>
      <c r="I27" s="222">
        <v>0.7</v>
      </c>
    </row>
    <row r="28" spans="2:9">
      <c r="B28" s="65">
        <v>60</v>
      </c>
      <c r="C28" s="222">
        <v>0</v>
      </c>
      <c r="D28" s="222">
        <v>0</v>
      </c>
      <c r="E28" s="222">
        <v>0.2</v>
      </c>
      <c r="F28" s="222">
        <v>0.5</v>
      </c>
      <c r="G28" s="222">
        <v>0.6</v>
      </c>
      <c r="H28" s="222">
        <v>0.6</v>
      </c>
      <c r="I28" s="222">
        <v>0.6</v>
      </c>
    </row>
    <row r="29" spans="2:9">
      <c r="B29" s="65">
        <v>65</v>
      </c>
      <c r="C29" s="222">
        <v>0</v>
      </c>
      <c r="D29" s="222">
        <v>0</v>
      </c>
      <c r="E29" s="222">
        <v>0.1</v>
      </c>
      <c r="F29" s="222">
        <v>0.4</v>
      </c>
      <c r="G29" s="222">
        <v>0.5</v>
      </c>
      <c r="H29" s="222">
        <v>0.5</v>
      </c>
      <c r="I29" s="222">
        <v>0.5</v>
      </c>
    </row>
    <row r="30" spans="2:9">
      <c r="B30" s="65">
        <v>70</v>
      </c>
      <c r="C30" s="222">
        <v>0</v>
      </c>
      <c r="D30" s="222">
        <v>0</v>
      </c>
      <c r="E30" s="222">
        <v>0</v>
      </c>
      <c r="F30" s="222">
        <v>0.3</v>
      </c>
      <c r="G30" s="222">
        <v>0.3</v>
      </c>
      <c r="H30" s="222">
        <v>0.3</v>
      </c>
      <c r="I30" s="222">
        <v>0.3</v>
      </c>
    </row>
    <row r="31" spans="2:9">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xl/worksheets/sheet12.xml><?xml version="1.0" encoding="utf-8"?>
<worksheet xmlns="http://schemas.openxmlformats.org/spreadsheetml/2006/main" xmlns:r="http://schemas.openxmlformats.org/officeDocument/2006/relationships">
  <sheetPr codeName="Sheet12"/>
  <dimension ref="A1:M7"/>
  <sheetViews>
    <sheetView workbookViewId="0"/>
  </sheetViews>
  <sheetFormatPr defaultRowHeight="15"/>
  <cols>
    <col min="2" max="2" width="22.28515625" bestFit="1" customWidth="1"/>
  </cols>
  <sheetData>
    <row r="1" spans="1:13">
      <c r="A1" t="s">
        <v>460</v>
      </c>
    </row>
    <row r="2" spans="1:13">
      <c r="A2" t="s">
        <v>1</v>
      </c>
      <c r="B2" t="s">
        <v>461</v>
      </c>
      <c r="C2" t="s">
        <v>462</v>
      </c>
      <c r="D2" t="s">
        <v>463</v>
      </c>
      <c r="E2" t="s">
        <v>464</v>
      </c>
      <c r="F2" t="s">
        <v>465</v>
      </c>
      <c r="G2" t="s">
        <v>466</v>
      </c>
      <c r="H2" t="s">
        <v>467</v>
      </c>
      <c r="I2" t="s">
        <v>468</v>
      </c>
      <c r="J2" t="s">
        <v>469</v>
      </c>
      <c r="K2" t="s">
        <v>470</v>
      </c>
      <c r="L2" t="s">
        <v>471</v>
      </c>
      <c r="M2" t="s">
        <v>472</v>
      </c>
    </row>
    <row r="3" spans="1:13">
      <c r="A3">
        <v>1</v>
      </c>
      <c r="B3" t="s">
        <v>473</v>
      </c>
      <c r="C3">
        <v>1</v>
      </c>
      <c r="D3">
        <v>1857339</v>
      </c>
      <c r="E3">
        <v>861336</v>
      </c>
      <c r="I3">
        <f>A7</f>
        <v>7381</v>
      </c>
      <c r="M3" t="str">
        <f>'Input sheet'!A13</f>
        <v>Wakara</v>
      </c>
    </row>
    <row r="4" spans="1:13">
      <c r="A4">
        <v>2</v>
      </c>
      <c r="B4" t="s">
        <v>474</v>
      </c>
      <c r="C4">
        <v>1</v>
      </c>
      <c r="D4">
        <v>1854618</v>
      </c>
      <c r="E4">
        <v>858956</v>
      </c>
      <c r="F4">
        <f>A7</f>
        <v>7381</v>
      </c>
      <c r="J4" t="str">
        <f>'Input sheet'!I2</f>
        <v>Foothill</v>
      </c>
    </row>
    <row r="5" spans="1:13">
      <c r="A5">
        <v>3</v>
      </c>
      <c r="B5" t="s">
        <v>475</v>
      </c>
      <c r="C5">
        <v>1</v>
      </c>
      <c r="D5">
        <v>1851885</v>
      </c>
      <c r="E5">
        <v>861370</v>
      </c>
      <c r="H5">
        <f>A7</f>
        <v>7381</v>
      </c>
      <c r="L5" t="str">
        <f>'Input sheet'!R13</f>
        <v>Wakara</v>
      </c>
    </row>
    <row r="6" spans="1:13">
      <c r="A6">
        <v>4</v>
      </c>
      <c r="B6" t="s">
        <v>476</v>
      </c>
      <c r="C6">
        <v>1</v>
      </c>
      <c r="D6">
        <v>1854625</v>
      </c>
      <c r="E6">
        <v>863756</v>
      </c>
      <c r="G6">
        <f>A7</f>
        <v>7381</v>
      </c>
      <c r="K6" t="str">
        <f>'Input sheet'!I26</f>
        <v>Foothill</v>
      </c>
    </row>
    <row r="7" spans="1:13">
      <c r="A7">
        <f>LANES!B3</f>
        <v>7381</v>
      </c>
      <c r="B7" t="str">
        <f>L5&amp;" &amp; "&amp;K7</f>
        <v>Wakara &amp; Foothill</v>
      </c>
      <c r="C7">
        <v>0</v>
      </c>
      <c r="D7">
        <v>1854612</v>
      </c>
      <c r="E7">
        <v>861356</v>
      </c>
      <c r="F7">
        <v>4</v>
      </c>
      <c r="G7">
        <v>2</v>
      </c>
      <c r="H7">
        <v>1</v>
      </c>
      <c r="I7">
        <v>3</v>
      </c>
      <c r="J7" t="str">
        <f>J4</f>
        <v>Foothill</v>
      </c>
      <c r="K7" t="str">
        <f>K6</f>
        <v>Foothill</v>
      </c>
      <c r="L7" t="str">
        <f>L5</f>
        <v>Wakara</v>
      </c>
      <c r="M7" t="str">
        <f>M3</f>
        <v>Wakara</v>
      </c>
    </row>
  </sheetData>
  <pageMargins left="0.7" right="0.7" top="0.75" bottom="0.75" header="0.3" footer="0.3"/>
  <pageSetup paperSize="0" orientation="portrait" r:id="rId1"/>
</worksheet>
</file>

<file path=xl/worksheets/sheet13.xml><?xml version="1.0" encoding="utf-8"?>
<worksheet xmlns="http://schemas.openxmlformats.org/spreadsheetml/2006/main" xmlns:r="http://schemas.openxmlformats.org/officeDocument/2006/relationships">
  <sheetPr codeName="Sheet13"/>
  <dimension ref="A1:AH30"/>
  <sheetViews>
    <sheetView workbookViewId="0"/>
  </sheetViews>
  <sheetFormatPr defaultRowHeight="15"/>
  <sheetData>
    <row r="1" spans="1:34">
      <c r="A1" t="s">
        <v>459</v>
      </c>
    </row>
    <row r="2" spans="1:34">
      <c r="A2" t="str">
        <f>Sheet1!A1</f>
        <v>RECORDNAME</v>
      </c>
      <c r="B2" t="str">
        <f>Sheet1!B1</f>
        <v>INTID</v>
      </c>
      <c r="C2" t="str">
        <f>Sheet1!C1</f>
        <v>NBL2</v>
      </c>
      <c r="D2" t="str">
        <f>Sheet1!D1</f>
        <v>NBL</v>
      </c>
      <c r="E2" t="str">
        <f>Sheet1!E1</f>
        <v>NBT</v>
      </c>
      <c r="F2" t="str">
        <f>Sheet1!F1</f>
        <v>NBR</v>
      </c>
      <c r="G2" t="str">
        <f>Sheet1!G1</f>
        <v>NBR2</v>
      </c>
      <c r="H2" t="str">
        <f>Sheet1!H1</f>
        <v>SBL2</v>
      </c>
      <c r="I2" t="str">
        <f>Sheet1!I1</f>
        <v>SBL</v>
      </c>
      <c r="J2" t="str">
        <f>Sheet1!J1</f>
        <v>SBT</v>
      </c>
      <c r="K2" t="str">
        <f>Sheet1!K1</f>
        <v>SBR</v>
      </c>
      <c r="L2" t="str">
        <f>Sheet1!L1</f>
        <v>SBR2</v>
      </c>
      <c r="M2" t="str">
        <f>Sheet1!M1</f>
        <v>EBL2</v>
      </c>
      <c r="N2" t="str">
        <f>Sheet1!N1</f>
        <v>EBL</v>
      </c>
      <c r="O2" t="str">
        <f>Sheet1!O1</f>
        <v>EBT</v>
      </c>
      <c r="P2" t="str">
        <f>Sheet1!P1</f>
        <v>EBR</v>
      </c>
      <c r="Q2" t="str">
        <f>Sheet1!Q1</f>
        <v>EBR2</v>
      </c>
      <c r="R2" t="str">
        <f>Sheet1!R1</f>
        <v>WBL2</v>
      </c>
      <c r="S2" t="str">
        <f>Sheet1!S1</f>
        <v>WBL</v>
      </c>
      <c r="T2" t="str">
        <f>Sheet1!T1</f>
        <v>WBT</v>
      </c>
      <c r="U2" t="str">
        <f>Sheet1!U1</f>
        <v>WBR</v>
      </c>
      <c r="V2" t="str">
        <f>Sheet1!V1</f>
        <v>WBR2</v>
      </c>
      <c r="W2" t="str">
        <f>Sheet1!W1</f>
        <v>NEL</v>
      </c>
      <c r="X2" t="str">
        <f>Sheet1!X1</f>
        <v>NET</v>
      </c>
      <c r="Y2" t="str">
        <f>Sheet1!Y1</f>
        <v>NER</v>
      </c>
      <c r="Z2" t="str">
        <f>Sheet1!Z1</f>
        <v>NWL</v>
      </c>
      <c r="AA2" t="str">
        <f>Sheet1!AA1</f>
        <v>NWT</v>
      </c>
      <c r="AB2" t="str">
        <f>Sheet1!AB1</f>
        <v>NWR</v>
      </c>
      <c r="AC2" t="str">
        <f>Sheet1!AC1</f>
        <v>SEL</v>
      </c>
      <c r="AD2" t="str">
        <f>Sheet1!AD1</f>
        <v>SET</v>
      </c>
      <c r="AE2" t="str">
        <f>Sheet1!AE1</f>
        <v>SER</v>
      </c>
      <c r="AF2" t="str">
        <f>Sheet1!AF1</f>
        <v>SWL</v>
      </c>
      <c r="AG2" t="str">
        <f>Sheet1!AG1</f>
        <v>SWT</v>
      </c>
      <c r="AH2" t="str">
        <f>Sheet1!AH1</f>
        <v>SWR</v>
      </c>
    </row>
    <row r="3" spans="1:34">
      <c r="A3" t="str">
        <f>Sheet1!A5</f>
        <v>Lanes</v>
      </c>
      <c r="B3">
        <f>Sheet1!B5</f>
        <v>7381</v>
      </c>
      <c r="C3">
        <f>Sheet1!C5</f>
        <v>0</v>
      </c>
      <c r="D3">
        <f>Sheet1!D5</f>
        <v>1</v>
      </c>
      <c r="E3">
        <f>Sheet1!E5</f>
        <v>3</v>
      </c>
      <c r="F3">
        <f>Sheet1!F5</f>
        <v>1</v>
      </c>
      <c r="G3">
        <f>Sheet1!G5</f>
        <v>0</v>
      </c>
      <c r="H3">
        <f>Sheet1!H5</f>
        <v>0</v>
      </c>
      <c r="I3">
        <f>Sheet1!I5</f>
        <v>1</v>
      </c>
      <c r="J3">
        <f>Sheet1!J5</f>
        <v>3</v>
      </c>
      <c r="K3">
        <f>Sheet1!K5</f>
        <v>1</v>
      </c>
      <c r="L3">
        <f>Sheet1!L5</f>
        <v>0</v>
      </c>
      <c r="M3">
        <f>Sheet1!M5</f>
        <v>0</v>
      </c>
      <c r="N3">
        <f>Sheet1!N5</f>
        <v>1</v>
      </c>
      <c r="O3">
        <f>Sheet1!O5</f>
        <v>2</v>
      </c>
      <c r="P3">
        <f>Sheet1!P5</f>
        <v>1</v>
      </c>
      <c r="Q3">
        <f>Sheet1!Q5</f>
        <v>0</v>
      </c>
      <c r="R3">
        <f>Sheet1!R5</f>
        <v>0</v>
      </c>
      <c r="S3">
        <f>Sheet1!S5</f>
        <v>1</v>
      </c>
      <c r="T3">
        <f>Sheet1!T5</f>
        <v>3</v>
      </c>
      <c r="U3">
        <f>Sheet1!U5</f>
        <v>1</v>
      </c>
      <c r="V3">
        <f>Sheet1!V5</f>
        <v>0</v>
      </c>
      <c r="W3">
        <f>Sheet1!W5</f>
        <v>0</v>
      </c>
      <c r="X3">
        <f>Sheet1!X5</f>
        <v>0</v>
      </c>
      <c r="Y3">
        <f>Sheet1!Y5</f>
        <v>0</v>
      </c>
      <c r="Z3">
        <f>Sheet1!Z5</f>
        <v>0</v>
      </c>
      <c r="AA3">
        <f>Sheet1!AA5</f>
        <v>0</v>
      </c>
      <c r="AB3">
        <f>Sheet1!AB5</f>
        <v>0</v>
      </c>
      <c r="AC3">
        <f>Sheet1!AC5</f>
        <v>0</v>
      </c>
      <c r="AD3">
        <f>Sheet1!AD5</f>
        <v>0</v>
      </c>
      <c r="AE3">
        <f>Sheet1!AE5</f>
        <v>0</v>
      </c>
      <c r="AF3">
        <f>Sheet1!AF5</f>
        <v>0</v>
      </c>
      <c r="AG3">
        <f>Sheet1!AG5</f>
        <v>0</v>
      </c>
      <c r="AH3">
        <f>Sheet1!AH5</f>
        <v>0</v>
      </c>
    </row>
    <row r="4" spans="1:34">
      <c r="A4" t="str">
        <f>Sheet1!A6</f>
        <v>Shared</v>
      </c>
      <c r="B4">
        <f>Sheet1!B6</f>
        <v>7381</v>
      </c>
      <c r="C4">
        <f>Sheet1!C6</f>
        <v>0</v>
      </c>
      <c r="D4">
        <f>Sheet1!D6</f>
        <v>0</v>
      </c>
      <c r="E4">
        <f>Sheet1!E6</f>
        <v>0</v>
      </c>
      <c r="F4">
        <f>Sheet1!F6</f>
        <v>0</v>
      </c>
      <c r="G4">
        <f>Sheet1!G6</f>
        <v>0</v>
      </c>
      <c r="H4">
        <f>Sheet1!H6</f>
        <v>0</v>
      </c>
      <c r="I4">
        <f>Sheet1!I6</f>
        <v>0</v>
      </c>
      <c r="J4">
        <f>Sheet1!J6</f>
        <v>0</v>
      </c>
      <c r="K4">
        <f>Sheet1!K6</f>
        <v>0</v>
      </c>
      <c r="L4">
        <f>Sheet1!L6</f>
        <v>0</v>
      </c>
      <c r="M4">
        <f>Sheet1!M6</f>
        <v>0</v>
      </c>
      <c r="N4">
        <f>Sheet1!N6</f>
        <v>0</v>
      </c>
      <c r="O4">
        <f>Sheet1!O6</f>
        <v>0</v>
      </c>
      <c r="P4">
        <f>Sheet1!P6</f>
        <v>0</v>
      </c>
      <c r="Q4">
        <f>Sheet1!Q6</f>
        <v>0</v>
      </c>
      <c r="R4">
        <f>Sheet1!R6</f>
        <v>0</v>
      </c>
      <c r="S4">
        <f>Sheet1!S6</f>
        <v>0</v>
      </c>
      <c r="T4">
        <f>Sheet1!T6</f>
        <v>0</v>
      </c>
      <c r="U4">
        <f>Sheet1!U6</f>
        <v>0</v>
      </c>
      <c r="V4">
        <f>Sheet1!V6</f>
        <v>0</v>
      </c>
      <c r="W4">
        <f>Sheet1!W6</f>
        <v>0</v>
      </c>
      <c r="X4">
        <f>Sheet1!X6</f>
        <v>0</v>
      </c>
      <c r="Y4">
        <f>Sheet1!Y6</f>
        <v>0</v>
      </c>
      <c r="Z4">
        <f>Sheet1!Z6</f>
        <v>0</v>
      </c>
      <c r="AA4">
        <f>Sheet1!AA6</f>
        <v>0</v>
      </c>
      <c r="AB4">
        <f>Sheet1!AB6</f>
        <v>0</v>
      </c>
      <c r="AC4">
        <f>Sheet1!AC6</f>
        <v>0</v>
      </c>
      <c r="AD4">
        <f>Sheet1!AD6</f>
        <v>0</v>
      </c>
      <c r="AE4">
        <f>Sheet1!AE6</f>
        <v>0</v>
      </c>
      <c r="AF4">
        <f>Sheet1!AF6</f>
        <v>0</v>
      </c>
      <c r="AG4">
        <f>Sheet1!AG6</f>
        <v>0</v>
      </c>
      <c r="AH4">
        <f>Sheet1!AH6</f>
        <v>0</v>
      </c>
    </row>
    <row r="5" spans="1:34">
      <c r="A5" t="str">
        <f>Sheet1!A7</f>
        <v>Width</v>
      </c>
      <c r="B5">
        <f>Sheet1!B7</f>
        <v>7381</v>
      </c>
      <c r="C5">
        <f>Sheet1!C7</f>
        <v>0</v>
      </c>
      <c r="D5">
        <f>Sheet1!D7</f>
        <v>12</v>
      </c>
      <c r="E5">
        <f>Sheet1!E7</f>
        <v>12</v>
      </c>
      <c r="F5">
        <f>Sheet1!F7</f>
        <v>12</v>
      </c>
      <c r="G5">
        <f>Sheet1!G7</f>
        <v>0</v>
      </c>
      <c r="H5">
        <f>Sheet1!H7</f>
        <v>0</v>
      </c>
      <c r="I5">
        <f>Sheet1!I7</f>
        <v>12</v>
      </c>
      <c r="J5">
        <f>Sheet1!J7</f>
        <v>12</v>
      </c>
      <c r="K5">
        <f>Sheet1!K7</f>
        <v>12</v>
      </c>
      <c r="L5">
        <f>Sheet1!L7</f>
        <v>0</v>
      </c>
      <c r="M5">
        <f>Sheet1!M7</f>
        <v>0</v>
      </c>
      <c r="N5">
        <f>Sheet1!N7</f>
        <v>12</v>
      </c>
      <c r="O5">
        <f>Sheet1!O7</f>
        <v>12</v>
      </c>
      <c r="P5">
        <f>Sheet1!P7</f>
        <v>12</v>
      </c>
      <c r="Q5">
        <f>Sheet1!Q7</f>
        <v>0</v>
      </c>
      <c r="R5">
        <f>Sheet1!R7</f>
        <v>0</v>
      </c>
      <c r="S5">
        <f>Sheet1!S7</f>
        <v>12</v>
      </c>
      <c r="T5">
        <f>Sheet1!T7</f>
        <v>12</v>
      </c>
      <c r="U5">
        <f>Sheet1!U7</f>
        <v>12</v>
      </c>
      <c r="V5">
        <f>Sheet1!V7</f>
        <v>0</v>
      </c>
      <c r="W5">
        <f>Sheet1!W7</f>
        <v>0</v>
      </c>
      <c r="X5">
        <f>Sheet1!X7</f>
        <v>0</v>
      </c>
      <c r="Y5">
        <f>Sheet1!Y7</f>
        <v>0</v>
      </c>
      <c r="Z5">
        <f>Sheet1!Z7</f>
        <v>0</v>
      </c>
      <c r="AA5">
        <f>Sheet1!AA7</f>
        <v>0</v>
      </c>
      <c r="AB5">
        <f>Sheet1!AB7</f>
        <v>0</v>
      </c>
      <c r="AC5">
        <f>Sheet1!AC7</f>
        <v>0</v>
      </c>
      <c r="AD5">
        <f>Sheet1!AD7</f>
        <v>0</v>
      </c>
      <c r="AE5">
        <f>Sheet1!AE7</f>
        <v>0</v>
      </c>
      <c r="AF5">
        <f>Sheet1!AF7</f>
        <v>0</v>
      </c>
      <c r="AG5">
        <f>Sheet1!AG7</f>
        <v>0</v>
      </c>
      <c r="AH5">
        <f>Sheet1!AH7</f>
        <v>0</v>
      </c>
    </row>
    <row r="6" spans="1:34">
      <c r="A6" t="str">
        <f>Sheet1!A8</f>
        <v>Storage</v>
      </c>
      <c r="B6">
        <f>Sheet1!B8</f>
        <v>7381</v>
      </c>
      <c r="C6">
        <f>Sheet1!C8</f>
        <v>0</v>
      </c>
      <c r="D6">
        <f>Sheet1!D8</f>
        <v>0</v>
      </c>
      <c r="E6">
        <f>Sheet1!E8</f>
        <v>0</v>
      </c>
      <c r="F6">
        <f>Sheet1!F8</f>
        <v>0</v>
      </c>
      <c r="G6">
        <f>Sheet1!G8</f>
        <v>0</v>
      </c>
      <c r="H6">
        <f>Sheet1!H8</f>
        <v>0</v>
      </c>
      <c r="I6">
        <f>Sheet1!I8</f>
        <v>0</v>
      </c>
      <c r="J6">
        <f>Sheet1!J8</f>
        <v>0</v>
      </c>
      <c r="K6">
        <f>Sheet1!K8</f>
        <v>0</v>
      </c>
      <c r="L6">
        <f>Sheet1!L8</f>
        <v>0</v>
      </c>
      <c r="M6">
        <f>Sheet1!M8</f>
        <v>0</v>
      </c>
      <c r="N6">
        <f>Sheet1!N8</f>
        <v>0</v>
      </c>
      <c r="O6">
        <f>Sheet1!O8</f>
        <v>0</v>
      </c>
      <c r="P6">
        <f>Sheet1!P8</f>
        <v>0</v>
      </c>
      <c r="Q6">
        <f>Sheet1!Q8</f>
        <v>0</v>
      </c>
      <c r="R6">
        <f>Sheet1!R8</f>
        <v>0</v>
      </c>
      <c r="S6">
        <f>Sheet1!S8</f>
        <v>0</v>
      </c>
      <c r="T6">
        <f>Sheet1!T8</f>
        <v>0</v>
      </c>
      <c r="U6">
        <f>Sheet1!U8</f>
        <v>0</v>
      </c>
      <c r="V6">
        <f>Sheet1!V8</f>
        <v>0</v>
      </c>
      <c r="W6">
        <f>Sheet1!W8</f>
        <v>0</v>
      </c>
      <c r="X6">
        <f>Sheet1!X8</f>
        <v>0</v>
      </c>
      <c r="Y6">
        <f>Sheet1!Y8</f>
        <v>0</v>
      </c>
      <c r="Z6">
        <f>Sheet1!Z8</f>
        <v>0</v>
      </c>
      <c r="AA6">
        <f>Sheet1!AA8</f>
        <v>0</v>
      </c>
      <c r="AB6">
        <f>Sheet1!AB8</f>
        <v>0</v>
      </c>
      <c r="AC6">
        <f>Sheet1!AC8</f>
        <v>0</v>
      </c>
      <c r="AD6">
        <f>Sheet1!AD8</f>
        <v>0</v>
      </c>
      <c r="AE6">
        <f>Sheet1!AE8</f>
        <v>0</v>
      </c>
      <c r="AF6">
        <f>Sheet1!AF8</f>
        <v>0</v>
      </c>
      <c r="AG6">
        <f>Sheet1!AG8</f>
        <v>0</v>
      </c>
      <c r="AH6">
        <f>Sheet1!AH8</f>
        <v>0</v>
      </c>
    </row>
    <row r="7" spans="1:34">
      <c r="A7" t="str">
        <f>Sheet1!A9</f>
        <v>StLanes</v>
      </c>
      <c r="B7">
        <f>Sheet1!B9</f>
        <v>7381</v>
      </c>
      <c r="C7">
        <f>Sheet1!C9</f>
        <v>0</v>
      </c>
      <c r="D7">
        <f>Sheet1!D9</f>
        <v>0</v>
      </c>
      <c r="E7">
        <f>Sheet1!E9</f>
        <v>0</v>
      </c>
      <c r="F7">
        <f>Sheet1!F9</f>
        <v>0</v>
      </c>
      <c r="G7">
        <f>Sheet1!G9</f>
        <v>0</v>
      </c>
      <c r="H7">
        <f>Sheet1!H9</f>
        <v>0</v>
      </c>
      <c r="I7">
        <f>Sheet1!I9</f>
        <v>0</v>
      </c>
      <c r="J7">
        <f>Sheet1!J9</f>
        <v>0</v>
      </c>
      <c r="K7">
        <f>Sheet1!K9</f>
        <v>0</v>
      </c>
      <c r="L7">
        <f>Sheet1!L9</f>
        <v>0</v>
      </c>
      <c r="M7">
        <f>Sheet1!M9</f>
        <v>0</v>
      </c>
      <c r="N7">
        <f>Sheet1!N9</f>
        <v>0</v>
      </c>
      <c r="O7">
        <f>Sheet1!O9</f>
        <v>0</v>
      </c>
      <c r="P7">
        <f>Sheet1!P9</f>
        <v>0</v>
      </c>
      <c r="Q7">
        <f>Sheet1!Q9</f>
        <v>0</v>
      </c>
      <c r="R7">
        <f>Sheet1!R9</f>
        <v>0</v>
      </c>
      <c r="S7">
        <f>Sheet1!S9</f>
        <v>0</v>
      </c>
      <c r="T7">
        <f>Sheet1!T9</f>
        <v>0</v>
      </c>
      <c r="U7">
        <f>Sheet1!U9</f>
        <v>0</v>
      </c>
      <c r="V7">
        <f>Sheet1!V9</f>
        <v>0</v>
      </c>
      <c r="W7">
        <f>Sheet1!W9</f>
        <v>0</v>
      </c>
      <c r="X7">
        <f>Sheet1!X9</f>
        <v>0</v>
      </c>
      <c r="Y7">
        <f>Sheet1!Y9</f>
        <v>0</v>
      </c>
      <c r="Z7">
        <f>Sheet1!Z9</f>
        <v>0</v>
      </c>
      <c r="AA7">
        <f>Sheet1!AA9</f>
        <v>0</v>
      </c>
      <c r="AB7">
        <f>Sheet1!AB9</f>
        <v>0</v>
      </c>
      <c r="AC7">
        <f>Sheet1!AC9</f>
        <v>0</v>
      </c>
      <c r="AD7">
        <f>Sheet1!AD9</f>
        <v>0</v>
      </c>
      <c r="AE7">
        <f>Sheet1!AE9</f>
        <v>0</v>
      </c>
      <c r="AF7">
        <f>Sheet1!AF9</f>
        <v>0</v>
      </c>
      <c r="AG7">
        <f>Sheet1!AG9</f>
        <v>0</v>
      </c>
      <c r="AH7">
        <f>Sheet1!AH9</f>
        <v>0</v>
      </c>
    </row>
    <row r="8" spans="1:34">
      <c r="A8" t="str">
        <f>Sheet1!A10</f>
        <v>Grade</v>
      </c>
      <c r="B8">
        <f>Sheet1!B10</f>
        <v>7381</v>
      </c>
      <c r="C8">
        <f>Sheet1!C10</f>
        <v>0</v>
      </c>
      <c r="D8">
        <f>Sheet1!D10</f>
        <v>0</v>
      </c>
      <c r="E8">
        <f>Sheet1!E10</f>
        <v>0</v>
      </c>
      <c r="F8">
        <f>Sheet1!F10</f>
        <v>0</v>
      </c>
      <c r="G8">
        <f>Sheet1!G10</f>
        <v>0</v>
      </c>
      <c r="H8">
        <f>Sheet1!H10</f>
        <v>0</v>
      </c>
      <c r="I8">
        <f>Sheet1!I10</f>
        <v>0</v>
      </c>
      <c r="J8">
        <f>Sheet1!J10</f>
        <v>0</v>
      </c>
      <c r="K8">
        <f>Sheet1!K10</f>
        <v>0</v>
      </c>
      <c r="L8">
        <f>Sheet1!L10</f>
        <v>0</v>
      </c>
      <c r="M8">
        <f>Sheet1!M10</f>
        <v>0</v>
      </c>
      <c r="N8">
        <f>Sheet1!N10</f>
        <v>0</v>
      </c>
      <c r="O8">
        <f>Sheet1!O10</f>
        <v>0</v>
      </c>
      <c r="P8">
        <f>Sheet1!P10</f>
        <v>0</v>
      </c>
      <c r="Q8">
        <f>Sheet1!Q10</f>
        <v>0</v>
      </c>
      <c r="R8">
        <f>Sheet1!R10</f>
        <v>0</v>
      </c>
      <c r="S8">
        <f>Sheet1!S10</f>
        <v>0</v>
      </c>
      <c r="T8">
        <f>Sheet1!T10</f>
        <v>0</v>
      </c>
      <c r="U8">
        <f>Sheet1!U10</f>
        <v>0</v>
      </c>
      <c r="V8">
        <f>Sheet1!V10</f>
        <v>0</v>
      </c>
      <c r="W8">
        <f>Sheet1!W10</f>
        <v>0</v>
      </c>
      <c r="X8">
        <f>Sheet1!X10</f>
        <v>0</v>
      </c>
      <c r="Y8">
        <f>Sheet1!Y10</f>
        <v>0</v>
      </c>
      <c r="Z8">
        <f>Sheet1!Z10</f>
        <v>0</v>
      </c>
      <c r="AA8">
        <f>Sheet1!AA10</f>
        <v>0</v>
      </c>
      <c r="AB8">
        <f>Sheet1!AB10</f>
        <v>0</v>
      </c>
      <c r="AC8">
        <f>Sheet1!AC10</f>
        <v>0</v>
      </c>
      <c r="AD8">
        <f>Sheet1!AD10</f>
        <v>0</v>
      </c>
      <c r="AE8">
        <f>Sheet1!AE10</f>
        <v>0</v>
      </c>
      <c r="AF8">
        <f>Sheet1!AF10</f>
        <v>0</v>
      </c>
      <c r="AG8">
        <f>Sheet1!AG10</f>
        <v>0</v>
      </c>
      <c r="AH8">
        <f>Sheet1!AH10</f>
        <v>0</v>
      </c>
    </row>
    <row r="9" spans="1:34">
      <c r="A9" t="str">
        <f>Sheet1!A11</f>
        <v>Speed</v>
      </c>
      <c r="B9">
        <f>Sheet1!B11</f>
        <v>7381</v>
      </c>
      <c r="C9">
        <f>Sheet1!C11</f>
        <v>0</v>
      </c>
      <c r="D9">
        <f>Sheet1!D11</f>
        <v>0</v>
      </c>
      <c r="E9">
        <f>Sheet1!E11</f>
        <v>40</v>
      </c>
      <c r="F9">
        <f>Sheet1!F11</f>
        <v>0</v>
      </c>
      <c r="G9">
        <f>Sheet1!G11</f>
        <v>0</v>
      </c>
      <c r="H9">
        <f>Sheet1!H11</f>
        <v>0</v>
      </c>
      <c r="I9">
        <f>Sheet1!I11</f>
        <v>0</v>
      </c>
      <c r="J9">
        <f>Sheet1!J11</f>
        <v>40</v>
      </c>
      <c r="K9">
        <f>Sheet1!K11</f>
        <v>0</v>
      </c>
      <c r="L9">
        <f>Sheet1!L11</f>
        <v>0</v>
      </c>
      <c r="M9">
        <f>Sheet1!M11</f>
        <v>0</v>
      </c>
      <c r="N9">
        <f>Sheet1!N11</f>
        <v>0</v>
      </c>
      <c r="O9">
        <f>Sheet1!O11</f>
        <v>25</v>
      </c>
      <c r="P9">
        <f>Sheet1!P11</f>
        <v>0</v>
      </c>
      <c r="Q9">
        <f>Sheet1!Q11</f>
        <v>0</v>
      </c>
      <c r="R9">
        <f>Sheet1!R11</f>
        <v>0</v>
      </c>
      <c r="S9">
        <f>Sheet1!S11</f>
        <v>0</v>
      </c>
      <c r="T9">
        <f>Sheet1!T11</f>
        <v>30</v>
      </c>
      <c r="U9">
        <f>Sheet1!U11</f>
        <v>0</v>
      </c>
      <c r="V9">
        <f>Sheet1!V11</f>
        <v>0</v>
      </c>
      <c r="W9">
        <f>Sheet1!W11</f>
        <v>0</v>
      </c>
      <c r="X9">
        <f>Sheet1!X11</f>
        <v>0</v>
      </c>
      <c r="Y9">
        <f>Sheet1!Y11</f>
        <v>0</v>
      </c>
      <c r="Z9">
        <f>Sheet1!Z11</f>
        <v>0</v>
      </c>
      <c r="AA9">
        <f>Sheet1!AA11</f>
        <v>0</v>
      </c>
      <c r="AB9">
        <f>Sheet1!AB11</f>
        <v>0</v>
      </c>
      <c r="AC9">
        <f>Sheet1!AC11</f>
        <v>0</v>
      </c>
      <c r="AD9">
        <f>Sheet1!AD11</f>
        <v>0</v>
      </c>
      <c r="AE9">
        <f>Sheet1!AE11</f>
        <v>0</v>
      </c>
      <c r="AF9">
        <f>Sheet1!AF11</f>
        <v>0</v>
      </c>
      <c r="AG9">
        <f>Sheet1!AG11</f>
        <v>0</v>
      </c>
      <c r="AH9">
        <f>Sheet1!AH11</f>
        <v>0</v>
      </c>
    </row>
    <row r="10" spans="1:34">
      <c r="A10" t="str">
        <f>Sheet1!A12</f>
        <v>FirstDetect</v>
      </c>
      <c r="B10">
        <f>Sheet1!B12</f>
        <v>7381</v>
      </c>
      <c r="C10">
        <f>Sheet1!C12</f>
        <v>0</v>
      </c>
      <c r="D10">
        <f>Sheet1!D12</f>
        <v>50</v>
      </c>
      <c r="E10">
        <f>Sheet1!E12</f>
        <v>50</v>
      </c>
      <c r="F10">
        <f>Sheet1!F12</f>
        <v>50</v>
      </c>
      <c r="G10">
        <f>Sheet1!G12</f>
        <v>0</v>
      </c>
      <c r="H10">
        <f>Sheet1!H12</f>
        <v>0</v>
      </c>
      <c r="I10">
        <f>Sheet1!I12</f>
        <v>50</v>
      </c>
      <c r="J10">
        <f>Sheet1!J12</f>
        <v>50</v>
      </c>
      <c r="K10">
        <f>Sheet1!K12</f>
        <v>50</v>
      </c>
      <c r="L10">
        <f>Sheet1!L12</f>
        <v>0</v>
      </c>
      <c r="M10">
        <f>Sheet1!M12</f>
        <v>0</v>
      </c>
      <c r="N10">
        <f>Sheet1!N12</f>
        <v>50</v>
      </c>
      <c r="O10">
        <f>Sheet1!O12</f>
        <v>50</v>
      </c>
      <c r="P10">
        <f>Sheet1!P12</f>
        <v>50</v>
      </c>
      <c r="Q10">
        <f>Sheet1!Q12</f>
        <v>0</v>
      </c>
      <c r="R10">
        <f>Sheet1!R12</f>
        <v>0</v>
      </c>
      <c r="S10">
        <f>Sheet1!S12</f>
        <v>50</v>
      </c>
      <c r="T10">
        <f>Sheet1!T12</f>
        <v>50</v>
      </c>
      <c r="U10">
        <f>Sheet1!U12</f>
        <v>50</v>
      </c>
      <c r="V10">
        <f>Sheet1!V12</f>
        <v>0</v>
      </c>
      <c r="W10">
        <f>Sheet1!W12</f>
        <v>0</v>
      </c>
      <c r="X10">
        <f>Sheet1!X12</f>
        <v>0</v>
      </c>
      <c r="Y10">
        <f>Sheet1!Y12</f>
        <v>0</v>
      </c>
      <c r="Z10">
        <f>Sheet1!Z12</f>
        <v>0</v>
      </c>
      <c r="AA10">
        <f>Sheet1!AA12</f>
        <v>0</v>
      </c>
      <c r="AB10">
        <f>Sheet1!AB12</f>
        <v>0</v>
      </c>
      <c r="AC10">
        <f>Sheet1!AC12</f>
        <v>0</v>
      </c>
      <c r="AD10">
        <f>Sheet1!AD12</f>
        <v>0</v>
      </c>
      <c r="AE10">
        <f>Sheet1!AE12</f>
        <v>0</v>
      </c>
      <c r="AF10">
        <f>Sheet1!AF12</f>
        <v>0</v>
      </c>
      <c r="AG10">
        <f>Sheet1!AG12</f>
        <v>0</v>
      </c>
      <c r="AH10">
        <f>Sheet1!AH12</f>
        <v>0</v>
      </c>
    </row>
    <row r="11" spans="1:34">
      <c r="A11" t="str">
        <f>Sheet1!A13</f>
        <v>LastDetect</v>
      </c>
      <c r="B11">
        <f>Sheet1!B13</f>
        <v>7381</v>
      </c>
      <c r="C11">
        <f>Sheet1!C13</f>
        <v>0</v>
      </c>
      <c r="D11">
        <f>Sheet1!D13</f>
        <v>0</v>
      </c>
      <c r="E11">
        <f>Sheet1!E13</f>
        <v>0</v>
      </c>
      <c r="F11">
        <f>Sheet1!F13</f>
        <v>0</v>
      </c>
      <c r="G11">
        <f>Sheet1!G13</f>
        <v>0</v>
      </c>
      <c r="H11">
        <f>Sheet1!H13</f>
        <v>0</v>
      </c>
      <c r="I11">
        <f>Sheet1!I13</f>
        <v>0</v>
      </c>
      <c r="J11">
        <f>Sheet1!J13</f>
        <v>0</v>
      </c>
      <c r="K11">
        <f>Sheet1!K13</f>
        <v>0</v>
      </c>
      <c r="L11">
        <f>Sheet1!L13</f>
        <v>0</v>
      </c>
      <c r="M11">
        <f>Sheet1!M13</f>
        <v>0</v>
      </c>
      <c r="N11">
        <f>Sheet1!N13</f>
        <v>0</v>
      </c>
      <c r="O11">
        <f>Sheet1!O13</f>
        <v>0</v>
      </c>
      <c r="P11">
        <f>Sheet1!P13</f>
        <v>0</v>
      </c>
      <c r="Q11">
        <f>Sheet1!Q13</f>
        <v>0</v>
      </c>
      <c r="R11">
        <f>Sheet1!R13</f>
        <v>0</v>
      </c>
      <c r="S11">
        <f>Sheet1!S13</f>
        <v>0</v>
      </c>
      <c r="T11">
        <f>Sheet1!T13</f>
        <v>0</v>
      </c>
      <c r="U11">
        <f>Sheet1!U13</f>
        <v>0</v>
      </c>
      <c r="V11">
        <f>Sheet1!V13</f>
        <v>0</v>
      </c>
      <c r="W11">
        <f>Sheet1!W13</f>
        <v>0</v>
      </c>
      <c r="X11">
        <f>Sheet1!X13</f>
        <v>0</v>
      </c>
      <c r="Y11">
        <f>Sheet1!Y13</f>
        <v>0</v>
      </c>
      <c r="Z11">
        <f>Sheet1!Z13</f>
        <v>0</v>
      </c>
      <c r="AA11">
        <f>Sheet1!AA13</f>
        <v>0</v>
      </c>
      <c r="AB11">
        <f>Sheet1!AB13</f>
        <v>0</v>
      </c>
      <c r="AC11">
        <f>Sheet1!AC13</f>
        <v>0</v>
      </c>
      <c r="AD11">
        <f>Sheet1!AD13</f>
        <v>0</v>
      </c>
      <c r="AE11">
        <f>Sheet1!AE13</f>
        <v>0</v>
      </c>
      <c r="AF11">
        <f>Sheet1!AF13</f>
        <v>0</v>
      </c>
      <c r="AG11">
        <f>Sheet1!AG13</f>
        <v>0</v>
      </c>
      <c r="AH11">
        <f>Sheet1!AH13</f>
        <v>0</v>
      </c>
    </row>
    <row r="12" spans="1:34">
      <c r="A12" t="str">
        <f>Sheet1!A14</f>
        <v>Phase1</v>
      </c>
      <c r="B12">
        <f>Sheet1!B14</f>
        <v>7381</v>
      </c>
      <c r="C12">
        <f>Sheet1!C14</f>
        <v>0</v>
      </c>
      <c r="D12">
        <f>Sheet1!D14</f>
        <v>0</v>
      </c>
      <c r="E12">
        <f>Sheet1!E14</f>
        <v>2</v>
      </c>
      <c r="F12">
        <f>Sheet1!F14</f>
        <v>0</v>
      </c>
      <c r="G12">
        <f>Sheet1!G14</f>
        <v>0</v>
      </c>
      <c r="H12">
        <f>Sheet1!H14</f>
        <v>0</v>
      </c>
      <c r="I12">
        <f>Sheet1!I14</f>
        <v>0</v>
      </c>
      <c r="J12">
        <f>Sheet1!J14</f>
        <v>6</v>
      </c>
      <c r="K12">
        <f>Sheet1!K14</f>
        <v>0</v>
      </c>
      <c r="L12">
        <f>Sheet1!L14</f>
        <v>0</v>
      </c>
      <c r="M12">
        <f>Sheet1!M14</f>
        <v>0</v>
      </c>
      <c r="N12">
        <f>Sheet1!N14</f>
        <v>7</v>
      </c>
      <c r="O12">
        <f>Sheet1!O14</f>
        <v>4</v>
      </c>
      <c r="P12">
        <f>Sheet1!P14</f>
        <v>0</v>
      </c>
      <c r="Q12">
        <f>Sheet1!Q14</f>
        <v>0</v>
      </c>
      <c r="R12">
        <f>Sheet1!R14</f>
        <v>0</v>
      </c>
      <c r="S12">
        <f>Sheet1!S14</f>
        <v>3</v>
      </c>
      <c r="T12">
        <f>Sheet1!T14</f>
        <v>8</v>
      </c>
      <c r="U12">
        <f>Sheet1!U14</f>
        <v>0</v>
      </c>
      <c r="V12">
        <f>Sheet1!V14</f>
        <v>0</v>
      </c>
      <c r="W12">
        <f>Sheet1!W14</f>
        <v>0</v>
      </c>
      <c r="X12">
        <f>Sheet1!X14</f>
        <v>0</v>
      </c>
      <c r="Y12">
        <f>Sheet1!Y14</f>
        <v>0</v>
      </c>
      <c r="Z12">
        <f>Sheet1!Z14</f>
        <v>0</v>
      </c>
      <c r="AA12">
        <f>Sheet1!AA14</f>
        <v>0</v>
      </c>
      <c r="AB12">
        <f>Sheet1!AB14</f>
        <v>0</v>
      </c>
      <c r="AC12">
        <f>Sheet1!AC14</f>
        <v>0</v>
      </c>
      <c r="AD12">
        <f>Sheet1!AD14</f>
        <v>0</v>
      </c>
      <c r="AE12">
        <f>Sheet1!AE14</f>
        <v>0</v>
      </c>
      <c r="AF12">
        <f>Sheet1!AF14</f>
        <v>0</v>
      </c>
      <c r="AG12">
        <f>Sheet1!AG14</f>
        <v>0</v>
      </c>
      <c r="AH12">
        <f>Sheet1!AH14</f>
        <v>0</v>
      </c>
    </row>
    <row r="13" spans="1:34">
      <c r="A13" t="str">
        <f>Sheet1!A15</f>
        <v>PermPhase1</v>
      </c>
      <c r="B13">
        <f>Sheet1!B15</f>
        <v>7381</v>
      </c>
      <c r="C13">
        <f>Sheet1!C15</f>
        <v>0</v>
      </c>
      <c r="D13">
        <f>Sheet1!D15</f>
        <v>2</v>
      </c>
      <c r="E13">
        <f>Sheet1!E15</f>
        <v>0</v>
      </c>
      <c r="F13">
        <f>Sheet1!F15</f>
        <v>2</v>
      </c>
      <c r="G13">
        <f>Sheet1!G15</f>
        <v>0</v>
      </c>
      <c r="H13">
        <f>Sheet1!H15</f>
        <v>0</v>
      </c>
      <c r="I13">
        <f>Sheet1!I15</f>
        <v>6</v>
      </c>
      <c r="J13">
        <f>Sheet1!J15</f>
        <v>0</v>
      </c>
      <c r="K13">
        <f>Sheet1!K15</f>
        <v>6</v>
      </c>
      <c r="L13">
        <f>Sheet1!L15</f>
        <v>0</v>
      </c>
      <c r="M13">
        <f>Sheet1!M15</f>
        <v>0</v>
      </c>
      <c r="N13">
        <f>Sheet1!N15</f>
        <v>4</v>
      </c>
      <c r="O13">
        <f>Sheet1!O15</f>
        <v>0</v>
      </c>
      <c r="P13">
        <f>Sheet1!P15</f>
        <v>4</v>
      </c>
      <c r="Q13">
        <f>Sheet1!Q15</f>
        <v>0</v>
      </c>
      <c r="R13">
        <f>Sheet1!R15</f>
        <v>0</v>
      </c>
      <c r="S13">
        <f>Sheet1!S15</f>
        <v>8</v>
      </c>
      <c r="T13">
        <f>Sheet1!T15</f>
        <v>0</v>
      </c>
      <c r="U13">
        <f>Sheet1!U15</f>
        <v>8</v>
      </c>
      <c r="V13">
        <f>Sheet1!V15</f>
        <v>0</v>
      </c>
      <c r="W13">
        <f>Sheet1!W15</f>
        <v>0</v>
      </c>
      <c r="X13">
        <f>Sheet1!X15</f>
        <v>0</v>
      </c>
      <c r="Y13">
        <f>Sheet1!Y15</f>
        <v>0</v>
      </c>
      <c r="Z13">
        <f>Sheet1!Z15</f>
        <v>0</v>
      </c>
      <c r="AA13">
        <f>Sheet1!AA15</f>
        <v>0</v>
      </c>
      <c r="AB13">
        <f>Sheet1!AB15</f>
        <v>0</v>
      </c>
      <c r="AC13">
        <f>Sheet1!AC15</f>
        <v>0</v>
      </c>
      <c r="AD13">
        <f>Sheet1!AD15</f>
        <v>0</v>
      </c>
      <c r="AE13">
        <f>Sheet1!AE15</f>
        <v>0</v>
      </c>
      <c r="AF13">
        <f>Sheet1!AF15</f>
        <v>0</v>
      </c>
      <c r="AG13">
        <f>Sheet1!AG15</f>
        <v>0</v>
      </c>
      <c r="AH13">
        <f>Sheet1!AH15</f>
        <v>0</v>
      </c>
    </row>
    <row r="14" spans="1:34">
      <c r="A14" t="str">
        <f>Sheet1!A16</f>
        <v>DetectPhase1</v>
      </c>
      <c r="B14">
        <f>Sheet1!B16</f>
        <v>7381</v>
      </c>
      <c r="C14">
        <f>Sheet1!C16</f>
        <v>0</v>
      </c>
      <c r="D14">
        <f>Sheet1!D16</f>
        <v>2</v>
      </c>
      <c r="E14">
        <f>Sheet1!E16</f>
        <v>2</v>
      </c>
      <c r="F14">
        <f>Sheet1!F16</f>
        <v>2</v>
      </c>
      <c r="G14">
        <f>Sheet1!G16</f>
        <v>0</v>
      </c>
      <c r="H14">
        <f>Sheet1!H16</f>
        <v>0</v>
      </c>
      <c r="I14">
        <f>Sheet1!I16</f>
        <v>6</v>
      </c>
      <c r="J14">
        <f>Sheet1!J16</f>
        <v>6</v>
      </c>
      <c r="K14">
        <f>Sheet1!K16</f>
        <v>6</v>
      </c>
      <c r="L14">
        <f>Sheet1!L16</f>
        <v>0</v>
      </c>
      <c r="M14">
        <f>Sheet1!M16</f>
        <v>0</v>
      </c>
      <c r="N14">
        <f>Sheet1!N16</f>
        <v>7</v>
      </c>
      <c r="O14">
        <f>Sheet1!O16</f>
        <v>4</v>
      </c>
      <c r="P14">
        <f>Sheet1!P16</f>
        <v>4</v>
      </c>
      <c r="Q14">
        <f>Sheet1!Q16</f>
        <v>0</v>
      </c>
      <c r="R14">
        <f>Sheet1!R16</f>
        <v>0</v>
      </c>
      <c r="S14">
        <f>Sheet1!S16</f>
        <v>3</v>
      </c>
      <c r="T14">
        <f>Sheet1!T16</f>
        <v>8</v>
      </c>
      <c r="U14">
        <f>Sheet1!U16</f>
        <v>8</v>
      </c>
      <c r="V14">
        <f>Sheet1!V16</f>
        <v>0</v>
      </c>
      <c r="W14">
        <f>Sheet1!W16</f>
        <v>0</v>
      </c>
      <c r="X14">
        <f>Sheet1!X16</f>
        <v>0</v>
      </c>
      <c r="Y14">
        <f>Sheet1!Y16</f>
        <v>0</v>
      </c>
      <c r="Z14">
        <f>Sheet1!Z16</f>
        <v>0</v>
      </c>
      <c r="AA14">
        <f>Sheet1!AA16</f>
        <v>0</v>
      </c>
      <c r="AB14">
        <f>Sheet1!AB16</f>
        <v>0</v>
      </c>
      <c r="AC14">
        <f>Sheet1!AC16</f>
        <v>0</v>
      </c>
      <c r="AD14">
        <f>Sheet1!AD16</f>
        <v>0</v>
      </c>
      <c r="AE14">
        <f>Sheet1!AE16</f>
        <v>0</v>
      </c>
      <c r="AF14">
        <f>Sheet1!AF16</f>
        <v>0</v>
      </c>
      <c r="AG14">
        <f>Sheet1!AG16</f>
        <v>0</v>
      </c>
      <c r="AH14">
        <f>Sheet1!AH16</f>
        <v>0</v>
      </c>
    </row>
    <row r="15" spans="1:34">
      <c r="A15" t="str">
        <f>Sheet1!A22</f>
        <v>IdealFlow</v>
      </c>
      <c r="B15">
        <f>Sheet1!B22</f>
        <v>7381</v>
      </c>
      <c r="C15">
        <f>Sheet1!C22</f>
        <v>0</v>
      </c>
      <c r="D15">
        <f>Sheet1!D22</f>
        <v>1900</v>
      </c>
      <c r="E15">
        <f>Sheet1!E22</f>
        <v>1900</v>
      </c>
      <c r="F15">
        <f>Sheet1!F22</f>
        <v>1900</v>
      </c>
      <c r="G15">
        <f>Sheet1!G22</f>
        <v>0</v>
      </c>
      <c r="H15">
        <f>Sheet1!H22</f>
        <v>0</v>
      </c>
      <c r="I15">
        <f>Sheet1!I22</f>
        <v>1900</v>
      </c>
      <c r="J15">
        <f>Sheet1!J22</f>
        <v>1900</v>
      </c>
      <c r="K15">
        <f>Sheet1!K22</f>
        <v>1900</v>
      </c>
      <c r="L15">
        <f>Sheet1!L22</f>
        <v>0</v>
      </c>
      <c r="M15">
        <f>Sheet1!M22</f>
        <v>0</v>
      </c>
      <c r="N15">
        <f>Sheet1!N22</f>
        <v>1900</v>
      </c>
      <c r="O15">
        <f>Sheet1!O22</f>
        <v>1900</v>
      </c>
      <c r="P15">
        <f>Sheet1!P22</f>
        <v>1900</v>
      </c>
      <c r="Q15">
        <f>Sheet1!Q22</f>
        <v>0</v>
      </c>
      <c r="R15">
        <f>Sheet1!R22</f>
        <v>0</v>
      </c>
      <c r="S15">
        <f>Sheet1!S22</f>
        <v>1900</v>
      </c>
      <c r="T15">
        <f>Sheet1!T22</f>
        <v>1900</v>
      </c>
      <c r="U15">
        <f>Sheet1!U22</f>
        <v>1900</v>
      </c>
      <c r="V15">
        <f>Sheet1!V22</f>
        <v>0</v>
      </c>
      <c r="W15">
        <f>Sheet1!W22</f>
        <v>0</v>
      </c>
      <c r="X15">
        <f>Sheet1!X22</f>
        <v>0</v>
      </c>
      <c r="Y15">
        <f>Sheet1!Y22</f>
        <v>0</v>
      </c>
      <c r="Z15">
        <f>Sheet1!Z22</f>
        <v>0</v>
      </c>
      <c r="AA15">
        <f>Sheet1!AA22</f>
        <v>0</v>
      </c>
      <c r="AB15">
        <f>Sheet1!AB22</f>
        <v>0</v>
      </c>
      <c r="AC15">
        <f>Sheet1!AC22</f>
        <v>0</v>
      </c>
      <c r="AD15">
        <f>Sheet1!AD22</f>
        <v>0</v>
      </c>
      <c r="AE15">
        <f>Sheet1!AE22</f>
        <v>0</v>
      </c>
      <c r="AF15">
        <f>Sheet1!AF22</f>
        <v>0</v>
      </c>
      <c r="AG15">
        <f>Sheet1!AG22</f>
        <v>0</v>
      </c>
      <c r="AH15">
        <f>Sheet1!AH22</f>
        <v>0</v>
      </c>
    </row>
    <row r="16" spans="1:34">
      <c r="A16" t="str">
        <f>Sheet1!A23</f>
        <v>LostTime</v>
      </c>
      <c r="B16">
        <f>Sheet1!B23</f>
        <v>7381</v>
      </c>
      <c r="C16">
        <f>Sheet1!C23</f>
        <v>0</v>
      </c>
      <c r="D16">
        <f>Sheet1!D23</f>
        <v>4</v>
      </c>
      <c r="E16">
        <f>Sheet1!E23</f>
        <v>4</v>
      </c>
      <c r="F16">
        <f>Sheet1!F23</f>
        <v>4</v>
      </c>
      <c r="G16">
        <f>Sheet1!G23</f>
        <v>0</v>
      </c>
      <c r="H16">
        <f>Sheet1!H23</f>
        <v>0</v>
      </c>
      <c r="I16">
        <f>Sheet1!I23</f>
        <v>4</v>
      </c>
      <c r="J16">
        <f>Sheet1!J23</f>
        <v>4</v>
      </c>
      <c r="K16">
        <f>Sheet1!K23</f>
        <v>4</v>
      </c>
      <c r="L16">
        <f>Sheet1!L23</f>
        <v>0</v>
      </c>
      <c r="M16">
        <f>Sheet1!M23</f>
        <v>0</v>
      </c>
      <c r="N16">
        <f>Sheet1!N23</f>
        <v>4</v>
      </c>
      <c r="O16">
        <f>Sheet1!O23</f>
        <v>4</v>
      </c>
      <c r="P16">
        <f>Sheet1!P23</f>
        <v>4</v>
      </c>
      <c r="Q16">
        <f>Sheet1!Q23</f>
        <v>0</v>
      </c>
      <c r="R16">
        <f>Sheet1!R23</f>
        <v>0</v>
      </c>
      <c r="S16">
        <f>Sheet1!S23</f>
        <v>4</v>
      </c>
      <c r="T16">
        <f>Sheet1!T23</f>
        <v>4</v>
      </c>
      <c r="U16">
        <f>Sheet1!U23</f>
        <v>4</v>
      </c>
      <c r="V16">
        <f>Sheet1!V23</f>
        <v>0</v>
      </c>
      <c r="W16">
        <f>Sheet1!W23</f>
        <v>0</v>
      </c>
      <c r="X16">
        <f>Sheet1!X23</f>
        <v>0</v>
      </c>
      <c r="Y16">
        <f>Sheet1!Y23</f>
        <v>0</v>
      </c>
      <c r="Z16">
        <f>Sheet1!Z23</f>
        <v>0</v>
      </c>
      <c r="AA16">
        <f>Sheet1!AA23</f>
        <v>0</v>
      </c>
      <c r="AB16">
        <f>Sheet1!AB23</f>
        <v>0</v>
      </c>
      <c r="AC16">
        <f>Sheet1!AC23</f>
        <v>0</v>
      </c>
      <c r="AD16">
        <f>Sheet1!AD23</f>
        <v>0</v>
      </c>
      <c r="AE16">
        <f>Sheet1!AE23</f>
        <v>0</v>
      </c>
      <c r="AF16">
        <f>Sheet1!AF23</f>
        <v>0</v>
      </c>
      <c r="AG16">
        <f>Sheet1!AG23</f>
        <v>0</v>
      </c>
      <c r="AH16">
        <f>Sheet1!AH23</f>
        <v>0</v>
      </c>
    </row>
    <row r="17" spans="1:34">
      <c r="A17" t="str">
        <f>Sheet1!A24</f>
        <v>SatFlow</v>
      </c>
      <c r="B17">
        <f>Sheet1!B24</f>
        <v>7381</v>
      </c>
      <c r="C17">
        <f>Sheet1!C24</f>
        <v>0</v>
      </c>
      <c r="D17">
        <f>Sheet1!D24</f>
        <v>0</v>
      </c>
      <c r="E17">
        <f>Sheet1!E24</f>
        <v>4223</v>
      </c>
      <c r="F17">
        <f>Sheet1!F24</f>
        <v>1408</v>
      </c>
      <c r="G17">
        <f>Sheet1!G24</f>
        <v>0</v>
      </c>
      <c r="H17">
        <f>Sheet1!H24</f>
        <v>0</v>
      </c>
      <c r="I17">
        <f>Sheet1!I24</f>
        <v>0</v>
      </c>
      <c r="J17">
        <f>Sheet1!J24</f>
        <v>4223</v>
      </c>
      <c r="K17">
        <f>Sheet1!K24</f>
        <v>1408</v>
      </c>
      <c r="L17">
        <f>Sheet1!L24</f>
        <v>0</v>
      </c>
      <c r="M17">
        <f>Sheet1!M24</f>
        <v>0</v>
      </c>
      <c r="N17">
        <f>Sheet1!N24</f>
        <v>1408</v>
      </c>
      <c r="O17">
        <f>Sheet1!O24</f>
        <v>2815</v>
      </c>
      <c r="P17">
        <f>Sheet1!P24</f>
        <v>1408</v>
      </c>
      <c r="Q17">
        <f>Sheet1!Q24</f>
        <v>0</v>
      </c>
      <c r="R17">
        <f>Sheet1!R24</f>
        <v>0</v>
      </c>
      <c r="S17">
        <f>Sheet1!S24</f>
        <v>1408</v>
      </c>
      <c r="T17">
        <f>Sheet1!T24</f>
        <v>4223</v>
      </c>
      <c r="U17">
        <f>Sheet1!U24</f>
        <v>1408</v>
      </c>
      <c r="V17">
        <f>Sheet1!V24</f>
        <v>0</v>
      </c>
      <c r="W17">
        <f>Sheet1!W24</f>
        <v>0</v>
      </c>
      <c r="X17">
        <f>Sheet1!X24</f>
        <v>0</v>
      </c>
      <c r="Y17">
        <f>Sheet1!Y24</f>
        <v>0</v>
      </c>
      <c r="Z17">
        <f>Sheet1!Z24</f>
        <v>0</v>
      </c>
      <c r="AA17">
        <f>Sheet1!AA24</f>
        <v>0</v>
      </c>
      <c r="AB17">
        <f>Sheet1!AB24</f>
        <v>0</v>
      </c>
      <c r="AC17">
        <f>Sheet1!AC24</f>
        <v>0</v>
      </c>
      <c r="AD17">
        <f>Sheet1!AD24</f>
        <v>0</v>
      </c>
      <c r="AE17">
        <f>Sheet1!AE24</f>
        <v>0</v>
      </c>
      <c r="AF17">
        <f>Sheet1!AF24</f>
        <v>0</v>
      </c>
      <c r="AG17">
        <f>Sheet1!AG24</f>
        <v>0</v>
      </c>
      <c r="AH17">
        <f>Sheet1!AH24</f>
        <v>0</v>
      </c>
    </row>
    <row r="18" spans="1:34">
      <c r="A18" t="str">
        <f>Sheet1!A25</f>
        <v>SatFlowPerm</v>
      </c>
      <c r="B18">
        <f>Sheet1!B25</f>
        <v>7381</v>
      </c>
      <c r="C18">
        <f>Sheet1!C25</f>
        <v>0</v>
      </c>
      <c r="D18">
        <f>Sheet1!D25</f>
        <v>367</v>
      </c>
      <c r="E18">
        <f>Sheet1!E25</f>
        <v>4223</v>
      </c>
      <c r="F18">
        <f>Sheet1!F25</f>
        <v>1408</v>
      </c>
      <c r="G18">
        <f>Sheet1!G25</f>
        <v>0</v>
      </c>
      <c r="H18">
        <f>Sheet1!H25</f>
        <v>0</v>
      </c>
      <c r="I18">
        <f>Sheet1!I25</f>
        <v>629</v>
      </c>
      <c r="J18">
        <f>Sheet1!J25</f>
        <v>4223</v>
      </c>
      <c r="K18">
        <f>Sheet1!K25</f>
        <v>1408</v>
      </c>
      <c r="L18">
        <f>Sheet1!L25</f>
        <v>0</v>
      </c>
      <c r="M18">
        <f>Sheet1!M25</f>
        <v>0</v>
      </c>
      <c r="N18">
        <f>Sheet1!N25</f>
        <v>845</v>
      </c>
      <c r="O18">
        <f>Sheet1!O25</f>
        <v>2815</v>
      </c>
      <c r="P18">
        <f>Sheet1!P25</f>
        <v>1408</v>
      </c>
      <c r="Q18">
        <f>Sheet1!Q25</f>
        <v>0</v>
      </c>
      <c r="R18">
        <f>Sheet1!R25</f>
        <v>0</v>
      </c>
      <c r="S18">
        <f>Sheet1!S25</f>
        <v>1293</v>
      </c>
      <c r="T18">
        <f>Sheet1!T25</f>
        <v>4223</v>
      </c>
      <c r="U18">
        <f>Sheet1!U25</f>
        <v>1408</v>
      </c>
      <c r="V18">
        <f>Sheet1!V25</f>
        <v>0</v>
      </c>
      <c r="W18">
        <f>Sheet1!W25</f>
        <v>0</v>
      </c>
      <c r="X18">
        <f>Sheet1!X25</f>
        <v>0</v>
      </c>
      <c r="Y18">
        <f>Sheet1!Y25</f>
        <v>0</v>
      </c>
      <c r="Z18">
        <f>Sheet1!Z25</f>
        <v>0</v>
      </c>
      <c r="AA18">
        <f>Sheet1!AA25</f>
        <v>0</v>
      </c>
      <c r="AB18">
        <f>Sheet1!AB25</f>
        <v>0</v>
      </c>
      <c r="AC18">
        <f>Sheet1!AC25</f>
        <v>0</v>
      </c>
      <c r="AD18">
        <f>Sheet1!AD25</f>
        <v>0</v>
      </c>
      <c r="AE18">
        <f>Sheet1!AE25</f>
        <v>0</v>
      </c>
      <c r="AF18">
        <f>Sheet1!AF25</f>
        <v>0</v>
      </c>
      <c r="AG18">
        <f>Sheet1!AG25</f>
        <v>0</v>
      </c>
      <c r="AH18">
        <f>Sheet1!AH25</f>
        <v>0</v>
      </c>
    </row>
    <row r="19" spans="1:34">
      <c r="A19" t="str">
        <f>Sheet1!A26</f>
        <v>SatFlowRTOR</v>
      </c>
      <c r="B19">
        <f>Sheet1!B26</f>
        <v>7381</v>
      </c>
      <c r="C19">
        <f>Sheet1!C26</f>
        <v>0</v>
      </c>
      <c r="D19">
        <f>Sheet1!D26</f>
        <v>0</v>
      </c>
      <c r="E19">
        <f>Sheet1!E26</f>
        <v>0</v>
      </c>
      <c r="F19">
        <f>Sheet1!F26</f>
        <v>0</v>
      </c>
      <c r="G19">
        <f>Sheet1!G26</f>
        <v>0</v>
      </c>
      <c r="H19">
        <f>Sheet1!H26</f>
        <v>0</v>
      </c>
      <c r="I19">
        <f>Sheet1!I26</f>
        <v>0</v>
      </c>
      <c r="J19">
        <f>Sheet1!J26</f>
        <v>0</v>
      </c>
      <c r="K19">
        <f>Sheet1!K26</f>
        <v>0</v>
      </c>
      <c r="L19">
        <f>Sheet1!L26</f>
        <v>0</v>
      </c>
      <c r="M19">
        <f>Sheet1!M26</f>
        <v>0</v>
      </c>
      <c r="N19">
        <f>Sheet1!N26</f>
        <v>0</v>
      </c>
      <c r="O19">
        <f>Sheet1!O26</f>
        <v>0</v>
      </c>
      <c r="P19">
        <f>Sheet1!P26</f>
        <v>0</v>
      </c>
      <c r="Q19">
        <f>Sheet1!Q26</f>
        <v>0</v>
      </c>
      <c r="R19">
        <f>Sheet1!R26</f>
        <v>0</v>
      </c>
      <c r="S19">
        <f>Sheet1!S26</f>
        <v>0</v>
      </c>
      <c r="T19">
        <f>Sheet1!T26</f>
        <v>0</v>
      </c>
      <c r="U19">
        <f>Sheet1!U26</f>
        <v>0</v>
      </c>
      <c r="V19">
        <f>Sheet1!V26</f>
        <v>0</v>
      </c>
      <c r="W19">
        <f>Sheet1!W26</f>
        <v>0</v>
      </c>
      <c r="X19">
        <f>Sheet1!X26</f>
        <v>0</v>
      </c>
      <c r="Y19">
        <f>Sheet1!Y26</f>
        <v>0</v>
      </c>
      <c r="Z19">
        <f>Sheet1!Z26</f>
        <v>0</v>
      </c>
      <c r="AA19">
        <f>Sheet1!AA26</f>
        <v>0</v>
      </c>
      <c r="AB19">
        <f>Sheet1!AB26</f>
        <v>0</v>
      </c>
      <c r="AC19">
        <f>Sheet1!AC26</f>
        <v>0</v>
      </c>
      <c r="AD19">
        <f>Sheet1!AD26</f>
        <v>0</v>
      </c>
      <c r="AE19">
        <f>Sheet1!AE26</f>
        <v>0</v>
      </c>
      <c r="AF19">
        <f>Sheet1!AF26</f>
        <v>0</v>
      </c>
      <c r="AG19">
        <f>Sheet1!AG26</f>
        <v>0</v>
      </c>
      <c r="AH19">
        <f>Sheet1!AH26</f>
        <v>0</v>
      </c>
    </row>
    <row r="20" spans="1:34">
      <c r="A20" t="str">
        <f>Sheet1!A27</f>
        <v>HeadwayFact</v>
      </c>
      <c r="B20">
        <f>Sheet1!B27</f>
        <v>7381</v>
      </c>
      <c r="C20">
        <f>Sheet1!C27</f>
        <v>0</v>
      </c>
      <c r="D20">
        <f>Sheet1!D27</f>
        <v>1</v>
      </c>
      <c r="E20">
        <f>Sheet1!E27</f>
        <v>1</v>
      </c>
      <c r="F20">
        <f>Sheet1!F27</f>
        <v>1</v>
      </c>
      <c r="G20">
        <f>Sheet1!G27</f>
        <v>0</v>
      </c>
      <c r="H20">
        <f>Sheet1!H27</f>
        <v>0</v>
      </c>
      <c r="I20">
        <f>Sheet1!I27</f>
        <v>1</v>
      </c>
      <c r="J20">
        <f>Sheet1!J27</f>
        <v>1</v>
      </c>
      <c r="K20">
        <f>Sheet1!K27</f>
        <v>1</v>
      </c>
      <c r="L20">
        <f>Sheet1!L27</f>
        <v>0</v>
      </c>
      <c r="M20">
        <f>Sheet1!M27</f>
        <v>0</v>
      </c>
      <c r="N20">
        <f>Sheet1!N27</f>
        <v>1</v>
      </c>
      <c r="O20">
        <f>Sheet1!O27</f>
        <v>1</v>
      </c>
      <c r="P20">
        <f>Sheet1!P27</f>
        <v>1</v>
      </c>
      <c r="Q20">
        <f>Sheet1!Q27</f>
        <v>0</v>
      </c>
      <c r="R20">
        <f>Sheet1!R27</f>
        <v>0</v>
      </c>
      <c r="S20">
        <f>Sheet1!S27</f>
        <v>1</v>
      </c>
      <c r="T20">
        <f>Sheet1!T27</f>
        <v>1</v>
      </c>
      <c r="U20">
        <f>Sheet1!U27</f>
        <v>1</v>
      </c>
      <c r="V20">
        <f>Sheet1!V27</f>
        <v>0</v>
      </c>
      <c r="W20">
        <f>Sheet1!W27</f>
        <v>0</v>
      </c>
      <c r="X20">
        <f>Sheet1!X27</f>
        <v>0</v>
      </c>
      <c r="Y20">
        <f>Sheet1!Y27</f>
        <v>0</v>
      </c>
      <c r="Z20">
        <f>Sheet1!Z27</f>
        <v>0</v>
      </c>
      <c r="AA20">
        <f>Sheet1!AA27</f>
        <v>0</v>
      </c>
      <c r="AB20">
        <f>Sheet1!AB27</f>
        <v>0</v>
      </c>
      <c r="AC20">
        <f>Sheet1!AC27</f>
        <v>0</v>
      </c>
      <c r="AD20">
        <f>Sheet1!AD27</f>
        <v>0</v>
      </c>
      <c r="AE20">
        <f>Sheet1!AE27</f>
        <v>0</v>
      </c>
      <c r="AF20">
        <f>Sheet1!AF27</f>
        <v>0</v>
      </c>
      <c r="AG20">
        <f>Sheet1!AG27</f>
        <v>0</v>
      </c>
      <c r="AH20">
        <f>Sheet1!AH27</f>
        <v>0</v>
      </c>
    </row>
    <row r="21" spans="1:34">
      <c r="A21" t="str">
        <f>Sheet1!A28</f>
        <v>Volume</v>
      </c>
      <c r="B21">
        <f>Sheet1!B28</f>
        <v>7381</v>
      </c>
      <c r="C21">
        <f>Sheet1!C28</f>
        <v>0</v>
      </c>
      <c r="D21">
        <f>Sheet1!D28</f>
        <v>0</v>
      </c>
      <c r="E21">
        <f>Sheet1!E28</f>
        <v>0</v>
      </c>
      <c r="F21">
        <f>Sheet1!F28</f>
        <v>0</v>
      </c>
      <c r="G21">
        <f>Sheet1!G28</f>
        <v>0</v>
      </c>
      <c r="H21">
        <f>Sheet1!H28</f>
        <v>0</v>
      </c>
      <c r="I21">
        <f>Sheet1!I28</f>
        <v>0</v>
      </c>
      <c r="J21">
        <f>Sheet1!J28</f>
        <v>0</v>
      </c>
      <c r="K21">
        <f>Sheet1!K28</f>
        <v>0</v>
      </c>
      <c r="L21">
        <f>Sheet1!L28</f>
        <v>0</v>
      </c>
      <c r="M21">
        <f>Sheet1!M28</f>
        <v>0</v>
      </c>
      <c r="N21">
        <f>Sheet1!N28</f>
        <v>0</v>
      </c>
      <c r="O21">
        <f>Sheet1!O28</f>
        <v>0</v>
      </c>
      <c r="P21">
        <f>Sheet1!P28</f>
        <v>0</v>
      </c>
      <c r="Q21">
        <f>Sheet1!Q28</f>
        <v>0</v>
      </c>
      <c r="R21">
        <f>Sheet1!R28</f>
        <v>0</v>
      </c>
      <c r="S21">
        <f>Sheet1!S28</f>
        <v>0</v>
      </c>
      <c r="T21">
        <f>Sheet1!T28</f>
        <v>0</v>
      </c>
      <c r="U21">
        <f>Sheet1!U28</f>
        <v>0</v>
      </c>
      <c r="V21">
        <f>Sheet1!V28</f>
        <v>0</v>
      </c>
      <c r="W21">
        <f>Sheet1!W28</f>
        <v>0</v>
      </c>
      <c r="X21">
        <f>Sheet1!X28</f>
        <v>0</v>
      </c>
      <c r="Y21">
        <f>Sheet1!Y28</f>
        <v>0</v>
      </c>
      <c r="Z21">
        <f>Sheet1!Z28</f>
        <v>0</v>
      </c>
      <c r="AA21">
        <f>Sheet1!AA28</f>
        <v>0</v>
      </c>
      <c r="AB21">
        <f>Sheet1!AB28</f>
        <v>0</v>
      </c>
      <c r="AC21">
        <f>Sheet1!AC28</f>
        <v>0</v>
      </c>
      <c r="AD21">
        <f>Sheet1!AD28</f>
        <v>0</v>
      </c>
      <c r="AE21">
        <f>Sheet1!AE28</f>
        <v>0</v>
      </c>
      <c r="AF21">
        <f>Sheet1!AF28</f>
        <v>0</v>
      </c>
      <c r="AG21">
        <f>Sheet1!AG28</f>
        <v>0</v>
      </c>
      <c r="AH21">
        <f>Sheet1!AH28</f>
        <v>0</v>
      </c>
    </row>
    <row r="22" spans="1:34">
      <c r="A22" t="str">
        <f>Sheet1!A29</f>
        <v>Peds</v>
      </c>
      <c r="B22">
        <f>Sheet1!B29</f>
        <v>7381</v>
      </c>
      <c r="C22">
        <f>Sheet1!C29</f>
        <v>0</v>
      </c>
      <c r="D22">
        <f>Sheet1!D29</f>
        <v>0</v>
      </c>
      <c r="E22">
        <f>Sheet1!E29</f>
        <v>10</v>
      </c>
      <c r="F22">
        <f>Sheet1!F29</f>
        <v>0</v>
      </c>
      <c r="G22">
        <f>Sheet1!G29</f>
        <v>0</v>
      </c>
      <c r="H22">
        <f>Sheet1!H29</f>
        <v>0</v>
      </c>
      <c r="I22">
        <f>Sheet1!I29</f>
        <v>0</v>
      </c>
      <c r="J22">
        <f>Sheet1!J29</f>
        <v>10</v>
      </c>
      <c r="K22">
        <f>Sheet1!K29</f>
        <v>0</v>
      </c>
      <c r="L22">
        <f>Sheet1!L29</f>
        <v>0</v>
      </c>
      <c r="M22">
        <f>Sheet1!M29</f>
        <v>0</v>
      </c>
      <c r="N22">
        <f>Sheet1!N29</f>
        <v>0</v>
      </c>
      <c r="O22">
        <f>Sheet1!O29</f>
        <v>10</v>
      </c>
      <c r="P22">
        <f>Sheet1!P29</f>
        <v>0</v>
      </c>
      <c r="Q22">
        <f>Sheet1!Q29</f>
        <v>0</v>
      </c>
      <c r="R22">
        <f>Sheet1!R29</f>
        <v>0</v>
      </c>
      <c r="S22">
        <f>Sheet1!S29</f>
        <v>0</v>
      </c>
      <c r="T22">
        <f>Sheet1!T29</f>
        <v>10</v>
      </c>
      <c r="U22">
        <f>Sheet1!U29</f>
        <v>0</v>
      </c>
      <c r="V22">
        <f>Sheet1!V29</f>
        <v>0</v>
      </c>
      <c r="W22">
        <f>Sheet1!W29</f>
        <v>0</v>
      </c>
      <c r="X22">
        <f>Sheet1!X29</f>
        <v>0</v>
      </c>
      <c r="Y22">
        <f>Sheet1!Y29</f>
        <v>0</v>
      </c>
      <c r="Z22">
        <f>Sheet1!Z29</f>
        <v>0</v>
      </c>
      <c r="AA22">
        <f>Sheet1!AA29</f>
        <v>0</v>
      </c>
      <c r="AB22">
        <f>Sheet1!AB29</f>
        <v>0</v>
      </c>
      <c r="AC22">
        <f>Sheet1!AC29</f>
        <v>0</v>
      </c>
      <c r="AD22">
        <f>Sheet1!AD29</f>
        <v>0</v>
      </c>
      <c r="AE22">
        <f>Sheet1!AE29</f>
        <v>0</v>
      </c>
      <c r="AF22">
        <f>Sheet1!AF29</f>
        <v>0</v>
      </c>
      <c r="AG22">
        <f>Sheet1!AG29</f>
        <v>0</v>
      </c>
      <c r="AH22">
        <f>Sheet1!AH29</f>
        <v>0</v>
      </c>
    </row>
    <row r="23" spans="1:34">
      <c r="A23" t="str">
        <f>Sheet1!A30</f>
        <v>Bicycles</v>
      </c>
      <c r="B23">
        <f>Sheet1!B30</f>
        <v>7381</v>
      </c>
      <c r="C23">
        <f>Sheet1!C30</f>
        <v>0</v>
      </c>
      <c r="D23">
        <f>Sheet1!D30</f>
        <v>0</v>
      </c>
      <c r="E23">
        <f>Sheet1!E30</f>
        <v>0</v>
      </c>
      <c r="F23">
        <f>Sheet1!F30</f>
        <v>0</v>
      </c>
      <c r="G23">
        <f>Sheet1!G30</f>
        <v>0</v>
      </c>
      <c r="H23">
        <f>Sheet1!H30</f>
        <v>0</v>
      </c>
      <c r="I23">
        <f>Sheet1!I30</f>
        <v>0</v>
      </c>
      <c r="J23">
        <f>Sheet1!J30</f>
        <v>0</v>
      </c>
      <c r="K23">
        <f>Sheet1!K30</f>
        <v>0</v>
      </c>
      <c r="L23">
        <f>Sheet1!L30</f>
        <v>0</v>
      </c>
      <c r="M23">
        <f>Sheet1!M30</f>
        <v>0</v>
      </c>
      <c r="N23">
        <f>Sheet1!N30</f>
        <v>0</v>
      </c>
      <c r="O23">
        <f>Sheet1!O30</f>
        <v>0</v>
      </c>
      <c r="P23">
        <f>Sheet1!P30</f>
        <v>0</v>
      </c>
      <c r="Q23">
        <f>Sheet1!Q30</f>
        <v>0</v>
      </c>
      <c r="R23">
        <f>Sheet1!R30</f>
        <v>0</v>
      </c>
      <c r="S23">
        <f>Sheet1!S30</f>
        <v>0</v>
      </c>
      <c r="T23">
        <f>Sheet1!T30</f>
        <v>0</v>
      </c>
      <c r="U23">
        <f>Sheet1!U30</f>
        <v>0</v>
      </c>
      <c r="V23">
        <f>Sheet1!V30</f>
        <v>0</v>
      </c>
      <c r="W23">
        <f>Sheet1!W30</f>
        <v>0</v>
      </c>
      <c r="X23">
        <f>Sheet1!X30</f>
        <v>0</v>
      </c>
      <c r="Y23">
        <f>Sheet1!Y30</f>
        <v>0</v>
      </c>
      <c r="Z23">
        <f>Sheet1!Z30</f>
        <v>0</v>
      </c>
      <c r="AA23">
        <f>Sheet1!AA30</f>
        <v>0</v>
      </c>
      <c r="AB23">
        <f>Sheet1!AB30</f>
        <v>0</v>
      </c>
      <c r="AC23">
        <f>Sheet1!AC30</f>
        <v>0</v>
      </c>
      <c r="AD23">
        <f>Sheet1!AD30</f>
        <v>0</v>
      </c>
      <c r="AE23">
        <f>Sheet1!AE30</f>
        <v>0</v>
      </c>
      <c r="AF23">
        <f>Sheet1!AF30</f>
        <v>0</v>
      </c>
      <c r="AG23">
        <f>Sheet1!AG30</f>
        <v>0</v>
      </c>
      <c r="AH23">
        <f>Sheet1!AH30</f>
        <v>0</v>
      </c>
    </row>
    <row r="24" spans="1:34">
      <c r="A24" t="str">
        <f>Sheet1!A31</f>
        <v>PHF</v>
      </c>
      <c r="B24">
        <f>Sheet1!B31</f>
        <v>7381</v>
      </c>
      <c r="C24">
        <f>Sheet1!C31</f>
        <v>0</v>
      </c>
      <c r="D24">
        <f>Sheet1!D31</f>
        <v>0.92</v>
      </c>
      <c r="E24">
        <f>Sheet1!E31</f>
        <v>0.92</v>
      </c>
      <c r="F24">
        <f>Sheet1!F31</f>
        <v>0.92</v>
      </c>
      <c r="G24">
        <f>Sheet1!G31</f>
        <v>0</v>
      </c>
      <c r="H24">
        <f>Sheet1!H31</f>
        <v>0</v>
      </c>
      <c r="I24">
        <f>Sheet1!I31</f>
        <v>0.92</v>
      </c>
      <c r="J24">
        <f>Sheet1!J31</f>
        <v>0.92</v>
      </c>
      <c r="K24">
        <f>Sheet1!K31</f>
        <v>0.92</v>
      </c>
      <c r="L24">
        <f>Sheet1!L31</f>
        <v>0</v>
      </c>
      <c r="M24">
        <f>Sheet1!M31</f>
        <v>0</v>
      </c>
      <c r="N24">
        <f>Sheet1!N31</f>
        <v>0.92</v>
      </c>
      <c r="O24">
        <f>Sheet1!O31</f>
        <v>0.92</v>
      </c>
      <c r="P24">
        <f>Sheet1!P31</f>
        <v>0.92</v>
      </c>
      <c r="Q24">
        <f>Sheet1!Q31</f>
        <v>0</v>
      </c>
      <c r="R24">
        <f>Sheet1!R31</f>
        <v>0</v>
      </c>
      <c r="S24">
        <f>Sheet1!S31</f>
        <v>0.92</v>
      </c>
      <c r="T24">
        <f>Sheet1!T31</f>
        <v>0.92</v>
      </c>
      <c r="U24">
        <f>Sheet1!U31</f>
        <v>0.92</v>
      </c>
      <c r="V24">
        <f>Sheet1!V31</f>
        <v>0</v>
      </c>
      <c r="W24">
        <f>Sheet1!W31</f>
        <v>0</v>
      </c>
      <c r="X24">
        <f>Sheet1!X31</f>
        <v>0</v>
      </c>
      <c r="Y24">
        <f>Sheet1!Y31</f>
        <v>0</v>
      </c>
      <c r="Z24">
        <f>Sheet1!Z31</f>
        <v>0</v>
      </c>
      <c r="AA24">
        <f>Sheet1!AA31</f>
        <v>0</v>
      </c>
      <c r="AB24">
        <f>Sheet1!AB31</f>
        <v>0</v>
      </c>
      <c r="AC24">
        <f>Sheet1!AC31</f>
        <v>0</v>
      </c>
      <c r="AD24">
        <f>Sheet1!AD31</f>
        <v>0</v>
      </c>
      <c r="AE24">
        <f>Sheet1!AE31</f>
        <v>0</v>
      </c>
      <c r="AF24">
        <f>Sheet1!AF31</f>
        <v>0</v>
      </c>
      <c r="AG24">
        <f>Sheet1!AG31</f>
        <v>0</v>
      </c>
      <c r="AH24">
        <f>Sheet1!AH31</f>
        <v>0</v>
      </c>
    </row>
    <row r="25" spans="1:34">
      <c r="A25" t="str">
        <f>Sheet1!A32</f>
        <v>Growth</v>
      </c>
      <c r="B25">
        <f>Sheet1!B32</f>
        <v>7381</v>
      </c>
      <c r="C25">
        <f>Sheet1!C32</f>
        <v>0</v>
      </c>
      <c r="D25">
        <f>Sheet1!D32</f>
        <v>100</v>
      </c>
      <c r="E25">
        <f>Sheet1!E32</f>
        <v>100</v>
      </c>
      <c r="F25">
        <f>Sheet1!F32</f>
        <v>100</v>
      </c>
      <c r="G25">
        <f>Sheet1!G32</f>
        <v>0</v>
      </c>
      <c r="H25">
        <f>Sheet1!H32</f>
        <v>0</v>
      </c>
      <c r="I25">
        <f>Sheet1!I32</f>
        <v>100</v>
      </c>
      <c r="J25">
        <f>Sheet1!J32</f>
        <v>100</v>
      </c>
      <c r="K25">
        <f>Sheet1!K32</f>
        <v>100</v>
      </c>
      <c r="L25">
        <f>Sheet1!L32</f>
        <v>0</v>
      </c>
      <c r="M25">
        <f>Sheet1!M32</f>
        <v>0</v>
      </c>
      <c r="N25">
        <f>Sheet1!N32</f>
        <v>100</v>
      </c>
      <c r="O25">
        <f>Sheet1!O32</f>
        <v>100</v>
      </c>
      <c r="P25">
        <f>Sheet1!P32</f>
        <v>100</v>
      </c>
      <c r="Q25">
        <f>Sheet1!Q32</f>
        <v>0</v>
      </c>
      <c r="R25">
        <f>Sheet1!R32</f>
        <v>0</v>
      </c>
      <c r="S25">
        <f>Sheet1!S32</f>
        <v>100</v>
      </c>
      <c r="T25">
        <f>Sheet1!T32</f>
        <v>100</v>
      </c>
      <c r="U25">
        <f>Sheet1!U32</f>
        <v>100</v>
      </c>
      <c r="V25">
        <f>Sheet1!V32</f>
        <v>0</v>
      </c>
      <c r="W25">
        <f>Sheet1!W32</f>
        <v>0</v>
      </c>
      <c r="X25">
        <f>Sheet1!X32</f>
        <v>0</v>
      </c>
      <c r="Y25">
        <f>Sheet1!Y32</f>
        <v>0</v>
      </c>
      <c r="Z25">
        <f>Sheet1!Z32</f>
        <v>0</v>
      </c>
      <c r="AA25">
        <f>Sheet1!AA32</f>
        <v>0</v>
      </c>
      <c r="AB25">
        <f>Sheet1!AB32</f>
        <v>0</v>
      </c>
      <c r="AC25">
        <f>Sheet1!AC32</f>
        <v>0</v>
      </c>
      <c r="AD25">
        <f>Sheet1!AD32</f>
        <v>0</v>
      </c>
      <c r="AE25">
        <f>Sheet1!AE32</f>
        <v>0</v>
      </c>
      <c r="AF25">
        <f>Sheet1!AF32</f>
        <v>0</v>
      </c>
      <c r="AG25">
        <f>Sheet1!AG32</f>
        <v>0</v>
      </c>
      <c r="AH25">
        <f>Sheet1!AH32</f>
        <v>0</v>
      </c>
    </row>
    <row r="26" spans="1:34">
      <c r="A26" t="str">
        <f>Sheet1!A33</f>
        <v>HeavyVehicles</v>
      </c>
      <c r="B26">
        <f>Sheet1!B33</f>
        <v>7381</v>
      </c>
      <c r="C26">
        <f>Sheet1!C33</f>
        <v>0</v>
      </c>
      <c r="D26">
        <f>Sheet1!D33</f>
        <v>2</v>
      </c>
      <c r="E26">
        <f>Sheet1!E33</f>
        <v>2</v>
      </c>
      <c r="F26">
        <f>Sheet1!F33</f>
        <v>2</v>
      </c>
      <c r="G26">
        <f>Sheet1!G33</f>
        <v>0</v>
      </c>
      <c r="H26">
        <f>Sheet1!H33</f>
        <v>0</v>
      </c>
      <c r="I26">
        <f>Sheet1!I33</f>
        <v>2</v>
      </c>
      <c r="J26">
        <f>Sheet1!J33</f>
        <v>2</v>
      </c>
      <c r="K26">
        <f>Sheet1!K33</f>
        <v>2</v>
      </c>
      <c r="L26">
        <f>Sheet1!L33</f>
        <v>0</v>
      </c>
      <c r="M26">
        <f>Sheet1!M33</f>
        <v>0</v>
      </c>
      <c r="N26">
        <f>Sheet1!N33</f>
        <v>2</v>
      </c>
      <c r="O26">
        <f>Sheet1!O33</f>
        <v>2</v>
      </c>
      <c r="P26">
        <f>Sheet1!P33</f>
        <v>2</v>
      </c>
      <c r="Q26">
        <f>Sheet1!Q33</f>
        <v>0</v>
      </c>
      <c r="R26">
        <f>Sheet1!R33</f>
        <v>0</v>
      </c>
      <c r="S26">
        <f>Sheet1!S33</f>
        <v>2</v>
      </c>
      <c r="T26">
        <f>Sheet1!T33</f>
        <v>2</v>
      </c>
      <c r="U26">
        <f>Sheet1!U33</f>
        <v>2</v>
      </c>
      <c r="V26">
        <f>Sheet1!V33</f>
        <v>0</v>
      </c>
      <c r="W26">
        <f>Sheet1!W33</f>
        <v>0</v>
      </c>
      <c r="X26">
        <f>Sheet1!X33</f>
        <v>0</v>
      </c>
      <c r="Y26">
        <f>Sheet1!Y33</f>
        <v>0</v>
      </c>
      <c r="Z26">
        <f>Sheet1!Z33</f>
        <v>0</v>
      </c>
      <c r="AA26">
        <f>Sheet1!AA33</f>
        <v>0</v>
      </c>
      <c r="AB26">
        <f>Sheet1!AB33</f>
        <v>0</v>
      </c>
      <c r="AC26">
        <f>Sheet1!AC33</f>
        <v>0</v>
      </c>
      <c r="AD26">
        <f>Sheet1!AD33</f>
        <v>0</v>
      </c>
      <c r="AE26">
        <f>Sheet1!AE33</f>
        <v>0</v>
      </c>
      <c r="AF26">
        <f>Sheet1!AF33</f>
        <v>0</v>
      </c>
      <c r="AG26">
        <f>Sheet1!AG33</f>
        <v>0</v>
      </c>
      <c r="AH26">
        <f>Sheet1!AH33</f>
        <v>0</v>
      </c>
    </row>
    <row r="27" spans="1:34">
      <c r="A27" t="str">
        <f>Sheet1!A34</f>
        <v>BusStops</v>
      </c>
      <c r="B27">
        <f>Sheet1!B34</f>
        <v>7381</v>
      </c>
      <c r="C27">
        <f>Sheet1!C34</f>
        <v>0</v>
      </c>
      <c r="D27">
        <f>Sheet1!D34</f>
        <v>0</v>
      </c>
      <c r="E27">
        <f>Sheet1!E34</f>
        <v>0</v>
      </c>
      <c r="F27">
        <f>Sheet1!F34</f>
        <v>0</v>
      </c>
      <c r="G27">
        <f>Sheet1!G34</f>
        <v>0</v>
      </c>
      <c r="H27">
        <f>Sheet1!H34</f>
        <v>0</v>
      </c>
      <c r="I27">
        <f>Sheet1!I34</f>
        <v>0</v>
      </c>
      <c r="J27">
        <f>Sheet1!J34</f>
        <v>0</v>
      </c>
      <c r="K27">
        <f>Sheet1!K34</f>
        <v>0</v>
      </c>
      <c r="L27">
        <f>Sheet1!L34</f>
        <v>0</v>
      </c>
      <c r="M27">
        <f>Sheet1!M34</f>
        <v>0</v>
      </c>
      <c r="N27">
        <f>Sheet1!N34</f>
        <v>0</v>
      </c>
      <c r="O27">
        <f>Sheet1!O34</f>
        <v>0</v>
      </c>
      <c r="P27">
        <f>Sheet1!P34</f>
        <v>0</v>
      </c>
      <c r="Q27">
        <f>Sheet1!Q34</f>
        <v>0</v>
      </c>
      <c r="R27">
        <f>Sheet1!R34</f>
        <v>0</v>
      </c>
      <c r="S27">
        <f>Sheet1!S34</f>
        <v>0</v>
      </c>
      <c r="T27">
        <f>Sheet1!T34</f>
        <v>0</v>
      </c>
      <c r="U27">
        <f>Sheet1!U34</f>
        <v>0</v>
      </c>
      <c r="V27">
        <f>Sheet1!V34</f>
        <v>0</v>
      </c>
      <c r="W27">
        <f>Sheet1!W34</f>
        <v>0</v>
      </c>
      <c r="X27">
        <f>Sheet1!X34</f>
        <v>0</v>
      </c>
      <c r="Y27">
        <f>Sheet1!Y34</f>
        <v>0</v>
      </c>
      <c r="Z27">
        <f>Sheet1!Z34</f>
        <v>0</v>
      </c>
      <c r="AA27">
        <f>Sheet1!AA34</f>
        <v>0</v>
      </c>
      <c r="AB27">
        <f>Sheet1!AB34</f>
        <v>0</v>
      </c>
      <c r="AC27">
        <f>Sheet1!AC34</f>
        <v>0</v>
      </c>
      <c r="AD27">
        <f>Sheet1!AD34</f>
        <v>0</v>
      </c>
      <c r="AE27">
        <f>Sheet1!AE34</f>
        <v>0</v>
      </c>
      <c r="AF27">
        <f>Sheet1!AF34</f>
        <v>0</v>
      </c>
      <c r="AG27">
        <f>Sheet1!AG34</f>
        <v>0</v>
      </c>
      <c r="AH27">
        <f>Sheet1!AH34</f>
        <v>0</v>
      </c>
    </row>
    <row r="28" spans="1:34">
      <c r="A28" t="str">
        <f>Sheet1!A35</f>
        <v>Midblock</v>
      </c>
      <c r="B28">
        <f>Sheet1!B35</f>
        <v>7381</v>
      </c>
      <c r="C28">
        <f>Sheet1!C35</f>
        <v>0</v>
      </c>
      <c r="D28">
        <f>Sheet1!D35</f>
        <v>0</v>
      </c>
      <c r="E28">
        <f>Sheet1!E35</f>
        <v>0</v>
      </c>
      <c r="F28">
        <f>Sheet1!F35</f>
        <v>0</v>
      </c>
      <c r="G28">
        <f>Sheet1!G35</f>
        <v>0</v>
      </c>
      <c r="H28">
        <f>Sheet1!H35</f>
        <v>0</v>
      </c>
      <c r="I28">
        <f>Sheet1!I35</f>
        <v>0</v>
      </c>
      <c r="J28">
        <f>Sheet1!J35</f>
        <v>0</v>
      </c>
      <c r="K28">
        <f>Sheet1!K35</f>
        <v>0</v>
      </c>
      <c r="L28">
        <f>Sheet1!L35</f>
        <v>0</v>
      </c>
      <c r="M28">
        <f>Sheet1!M35</f>
        <v>0</v>
      </c>
      <c r="N28">
        <f>Sheet1!N35</f>
        <v>0</v>
      </c>
      <c r="O28">
        <f>Sheet1!O35</f>
        <v>0</v>
      </c>
      <c r="P28">
        <f>Sheet1!P35</f>
        <v>0</v>
      </c>
      <c r="Q28">
        <f>Sheet1!Q35</f>
        <v>0</v>
      </c>
      <c r="R28">
        <f>Sheet1!R35</f>
        <v>0</v>
      </c>
      <c r="S28">
        <f>Sheet1!S35</f>
        <v>0</v>
      </c>
      <c r="T28">
        <f>Sheet1!T35</f>
        <v>0</v>
      </c>
      <c r="U28">
        <f>Sheet1!U35</f>
        <v>0</v>
      </c>
      <c r="V28">
        <f>Sheet1!V35</f>
        <v>0</v>
      </c>
      <c r="W28">
        <f>Sheet1!W35</f>
        <v>0</v>
      </c>
      <c r="X28">
        <f>Sheet1!X35</f>
        <v>0</v>
      </c>
      <c r="Y28">
        <f>Sheet1!Y35</f>
        <v>0</v>
      </c>
      <c r="Z28">
        <f>Sheet1!Z35</f>
        <v>0</v>
      </c>
      <c r="AA28">
        <f>Sheet1!AA35</f>
        <v>0</v>
      </c>
      <c r="AB28">
        <f>Sheet1!AB35</f>
        <v>0</v>
      </c>
      <c r="AC28">
        <f>Sheet1!AC35</f>
        <v>0</v>
      </c>
      <c r="AD28">
        <f>Sheet1!AD35</f>
        <v>0</v>
      </c>
      <c r="AE28">
        <f>Sheet1!AE35</f>
        <v>0</v>
      </c>
      <c r="AF28">
        <f>Sheet1!AF35</f>
        <v>0</v>
      </c>
      <c r="AG28">
        <f>Sheet1!AG35</f>
        <v>0</v>
      </c>
      <c r="AH28">
        <f>Sheet1!AH35</f>
        <v>0</v>
      </c>
    </row>
    <row r="29" spans="1:34">
      <c r="A29" t="str">
        <f>Sheet1!A36</f>
        <v>Distance</v>
      </c>
      <c r="B29">
        <f>Sheet1!B36</f>
        <v>7381</v>
      </c>
      <c r="C29">
        <f>Sheet1!C36</f>
        <v>0</v>
      </c>
      <c r="D29">
        <f>Sheet1!D36</f>
        <v>0</v>
      </c>
      <c r="E29">
        <f>Sheet1!E36</f>
        <v>0</v>
      </c>
      <c r="F29">
        <f>Sheet1!F36</f>
        <v>0</v>
      </c>
      <c r="G29">
        <f>Sheet1!G36</f>
        <v>0</v>
      </c>
      <c r="H29">
        <f>Sheet1!H36</f>
        <v>0</v>
      </c>
      <c r="I29">
        <f>Sheet1!I36</f>
        <v>0</v>
      </c>
      <c r="J29">
        <f>Sheet1!J36</f>
        <v>0</v>
      </c>
      <c r="K29">
        <f>Sheet1!K36</f>
        <v>0</v>
      </c>
      <c r="L29">
        <f>Sheet1!L36</f>
        <v>0</v>
      </c>
      <c r="M29">
        <f>Sheet1!M36</f>
        <v>0</v>
      </c>
      <c r="N29">
        <f>Sheet1!N36</f>
        <v>0</v>
      </c>
      <c r="O29">
        <f>Sheet1!O36</f>
        <v>0</v>
      </c>
      <c r="P29">
        <f>Sheet1!P36</f>
        <v>0</v>
      </c>
      <c r="Q29">
        <f>Sheet1!Q36</f>
        <v>0</v>
      </c>
      <c r="R29">
        <f>Sheet1!R36</f>
        <v>0</v>
      </c>
      <c r="S29">
        <f>Sheet1!S36</f>
        <v>0</v>
      </c>
      <c r="T29">
        <f>Sheet1!T36</f>
        <v>0</v>
      </c>
      <c r="U29">
        <f>Sheet1!U36</f>
        <v>0</v>
      </c>
      <c r="V29">
        <f>Sheet1!V36</f>
        <v>0</v>
      </c>
      <c r="W29">
        <f>Sheet1!W36</f>
        <v>0</v>
      </c>
      <c r="X29">
        <f>Sheet1!X36</f>
        <v>0</v>
      </c>
      <c r="Y29">
        <f>Sheet1!Y36</f>
        <v>0</v>
      </c>
      <c r="Z29">
        <f>Sheet1!Z36</f>
        <v>0</v>
      </c>
      <c r="AA29">
        <f>Sheet1!AA36</f>
        <v>0</v>
      </c>
      <c r="AB29">
        <f>Sheet1!AB36</f>
        <v>0</v>
      </c>
      <c r="AC29">
        <f>Sheet1!AC36</f>
        <v>0</v>
      </c>
      <c r="AD29">
        <f>Sheet1!AD36</f>
        <v>0</v>
      </c>
      <c r="AE29">
        <f>Sheet1!AE36</f>
        <v>0</v>
      </c>
      <c r="AF29">
        <f>Sheet1!AF36</f>
        <v>0</v>
      </c>
      <c r="AG29">
        <f>Sheet1!AG36</f>
        <v>0</v>
      </c>
      <c r="AH29">
        <f>Sheet1!AH36</f>
        <v>0</v>
      </c>
    </row>
    <row r="30" spans="1:34">
      <c r="A30" t="str">
        <f>Sheet1!A37</f>
        <v>TravelTime</v>
      </c>
      <c r="B30">
        <f>Sheet1!B37</f>
        <v>7381</v>
      </c>
      <c r="C30">
        <f>Sheet1!C37</f>
        <v>0</v>
      </c>
      <c r="D30">
        <f>Sheet1!D37</f>
        <v>0</v>
      </c>
      <c r="E30">
        <f>Sheet1!E37</f>
        <v>0</v>
      </c>
      <c r="F30">
        <f>Sheet1!F37</f>
        <v>0</v>
      </c>
      <c r="G30">
        <f>Sheet1!G37</f>
        <v>0</v>
      </c>
      <c r="H30">
        <f>Sheet1!H37</f>
        <v>0</v>
      </c>
      <c r="I30">
        <f>Sheet1!I37</f>
        <v>0</v>
      </c>
      <c r="J30">
        <f>Sheet1!J37</f>
        <v>0</v>
      </c>
      <c r="K30">
        <f>Sheet1!K37</f>
        <v>0</v>
      </c>
      <c r="L30">
        <f>Sheet1!L37</f>
        <v>0</v>
      </c>
      <c r="M30">
        <f>Sheet1!M37</f>
        <v>0</v>
      </c>
      <c r="N30">
        <f>Sheet1!N37</f>
        <v>0</v>
      </c>
      <c r="O30">
        <f>Sheet1!O37</f>
        <v>0</v>
      </c>
      <c r="P30">
        <f>Sheet1!P37</f>
        <v>0</v>
      </c>
      <c r="Q30">
        <f>Sheet1!Q37</f>
        <v>0</v>
      </c>
      <c r="R30">
        <f>Sheet1!R37</f>
        <v>0</v>
      </c>
      <c r="S30">
        <f>Sheet1!S37</f>
        <v>0</v>
      </c>
      <c r="T30">
        <f>Sheet1!T37</f>
        <v>0</v>
      </c>
      <c r="U30">
        <f>Sheet1!U37</f>
        <v>0</v>
      </c>
      <c r="V30">
        <f>Sheet1!V37</f>
        <v>0</v>
      </c>
      <c r="W30">
        <f>Sheet1!W37</f>
        <v>0</v>
      </c>
      <c r="X30">
        <f>Sheet1!X37</f>
        <v>0</v>
      </c>
      <c r="Y30">
        <f>Sheet1!Y37</f>
        <v>0</v>
      </c>
      <c r="Z30">
        <f>Sheet1!Z37</f>
        <v>0</v>
      </c>
      <c r="AA30">
        <f>Sheet1!AA37</f>
        <v>0</v>
      </c>
      <c r="AB30">
        <f>Sheet1!AB37</f>
        <v>0</v>
      </c>
      <c r="AC30">
        <f>Sheet1!AC37</f>
        <v>0</v>
      </c>
      <c r="AD30">
        <f>Sheet1!AD37</f>
        <v>0</v>
      </c>
      <c r="AE30">
        <f>Sheet1!AE37</f>
        <v>0</v>
      </c>
      <c r="AF30">
        <f>Sheet1!AF37</f>
        <v>0</v>
      </c>
      <c r="AG30">
        <f>Sheet1!AG37</f>
        <v>0</v>
      </c>
      <c r="AH30">
        <f>Sheet1!AH37</f>
        <v>0</v>
      </c>
    </row>
  </sheetData>
  <pageMargins left="0.7" right="0.7" top="0.75" bottom="0.75" header="0.3" footer="0.3"/>
  <pageSetup paperSize="0" orientation="portrait" r:id="rId1"/>
</worksheet>
</file>

<file path=xl/worksheets/sheet14.xml><?xml version="1.0" encoding="utf-8"?>
<worksheet xmlns="http://schemas.openxmlformats.org/spreadsheetml/2006/main" xmlns:r="http://schemas.openxmlformats.org/officeDocument/2006/relationships">
  <sheetPr codeName="Sheet14"/>
  <dimension ref="A1:AI4"/>
  <sheetViews>
    <sheetView workbookViewId="0"/>
  </sheetViews>
  <sheetFormatPr defaultRowHeight="15"/>
  <cols>
    <col min="1" max="1" width="24" bestFit="1" customWidth="1"/>
  </cols>
  <sheetData>
    <row r="1" spans="1:35">
      <c r="A1" t="s">
        <v>477</v>
      </c>
    </row>
    <row r="2" spans="1:35">
      <c r="A2" t="s">
        <v>478</v>
      </c>
    </row>
    <row r="3" spans="1:35">
      <c r="A3" t="s">
        <v>479</v>
      </c>
      <c r="B3" t="s">
        <v>480</v>
      </c>
      <c r="C3" t="s">
        <v>1</v>
      </c>
      <c r="D3" t="s">
        <v>2</v>
      </c>
      <c r="E3" t="s">
        <v>3</v>
      </c>
      <c r="F3" t="s">
        <v>4</v>
      </c>
      <c r="G3" t="s">
        <v>5</v>
      </c>
      <c r="H3" t="s">
        <v>6</v>
      </c>
      <c r="I3" t="s">
        <v>7</v>
      </c>
      <c r="J3" t="s">
        <v>8</v>
      </c>
      <c r="K3" t="s">
        <v>9</v>
      </c>
      <c r="L3" t="s">
        <v>10</v>
      </c>
      <c r="M3" t="s">
        <v>11</v>
      </c>
      <c r="N3" t="s">
        <v>12</v>
      </c>
      <c r="O3" t="s">
        <v>13</v>
      </c>
      <c r="P3" t="s">
        <v>14</v>
      </c>
      <c r="Q3" t="s">
        <v>15</v>
      </c>
      <c r="R3" t="s">
        <v>16</v>
      </c>
      <c r="S3" t="s">
        <v>17</v>
      </c>
      <c r="T3" t="s">
        <v>18</v>
      </c>
      <c r="U3" t="s">
        <v>19</v>
      </c>
      <c r="V3" t="s">
        <v>20</v>
      </c>
      <c r="W3" t="s">
        <v>21</v>
      </c>
      <c r="X3" t="s">
        <v>22</v>
      </c>
      <c r="Y3" t="s">
        <v>23</v>
      </c>
      <c r="Z3" t="s">
        <v>24</v>
      </c>
      <c r="AA3" t="s">
        <v>25</v>
      </c>
      <c r="AB3" t="s">
        <v>26</v>
      </c>
      <c r="AC3" t="s">
        <v>27</v>
      </c>
      <c r="AD3" t="s">
        <v>28</v>
      </c>
      <c r="AE3" t="s">
        <v>29</v>
      </c>
      <c r="AF3" t="s">
        <v>30</v>
      </c>
      <c r="AG3" t="s">
        <v>31</v>
      </c>
      <c r="AH3" t="s">
        <v>32</v>
      </c>
      <c r="AI3" t="s">
        <v>33</v>
      </c>
    </row>
    <row r="4" spans="1:35">
      <c r="A4" s="412">
        <v>41340</v>
      </c>
      <c r="B4">
        <v>1700</v>
      </c>
      <c r="C4">
        <v>7381</v>
      </c>
      <c r="D4">
        <f>Sheet1!C4</f>
        <v>0</v>
      </c>
      <c r="E4">
        <f>Sheet1!D4</f>
        <v>15</v>
      </c>
      <c r="F4">
        <f>Sheet1!E4</f>
        <v>738</v>
      </c>
      <c r="G4">
        <f>Sheet1!F4</f>
        <v>141</v>
      </c>
      <c r="H4">
        <f>Sheet1!G4</f>
        <v>0</v>
      </c>
      <c r="I4">
        <f>Sheet1!H4</f>
        <v>0</v>
      </c>
      <c r="J4">
        <f>Sheet1!I4</f>
        <v>124</v>
      </c>
      <c r="K4">
        <f>Sheet1!J4</f>
        <v>1422</v>
      </c>
      <c r="L4">
        <f>Sheet1!K4</f>
        <v>23</v>
      </c>
      <c r="M4">
        <f>Sheet1!L4</f>
        <v>0</v>
      </c>
      <c r="N4">
        <f>Sheet1!M4</f>
        <v>0</v>
      </c>
      <c r="O4">
        <f>Sheet1!N4</f>
        <v>28</v>
      </c>
      <c r="P4">
        <f>Sheet1!O4</f>
        <v>0</v>
      </c>
      <c r="Q4">
        <f>Sheet1!P4</f>
        <v>97</v>
      </c>
      <c r="R4">
        <f>Sheet1!Q4</f>
        <v>0</v>
      </c>
      <c r="S4">
        <f>Sheet1!R4</f>
        <v>0</v>
      </c>
      <c r="T4">
        <f>Sheet1!S4</f>
        <v>803</v>
      </c>
      <c r="U4">
        <f>Sheet1!T4</f>
        <v>1</v>
      </c>
      <c r="V4">
        <f>Sheet1!U4</f>
        <v>560</v>
      </c>
      <c r="W4">
        <f>Sheet1!V4</f>
        <v>0</v>
      </c>
      <c r="X4">
        <f>Sheet1!W4</f>
        <v>0</v>
      </c>
      <c r="Y4">
        <f>Sheet1!X4</f>
        <v>0</v>
      </c>
      <c r="Z4">
        <f>Sheet1!Y4</f>
        <v>0</v>
      </c>
      <c r="AA4">
        <f>Sheet1!Z4</f>
        <v>0</v>
      </c>
      <c r="AB4">
        <f>Sheet1!AA4</f>
        <v>0</v>
      </c>
      <c r="AC4">
        <f>Sheet1!AB4</f>
        <v>0</v>
      </c>
      <c r="AD4">
        <f>Sheet1!AC4</f>
        <v>0</v>
      </c>
      <c r="AE4">
        <f>Sheet1!AD4</f>
        <v>0</v>
      </c>
      <c r="AF4">
        <f>Sheet1!AE4</f>
        <v>0</v>
      </c>
      <c r="AG4">
        <f>Sheet1!AF4</f>
        <v>0</v>
      </c>
      <c r="AH4">
        <f>Sheet1!AG4</f>
        <v>0</v>
      </c>
      <c r="AI4">
        <f>Sheet1!AH4</f>
        <v>0</v>
      </c>
    </row>
  </sheetData>
  <pageMargins left="0.7" right="0.7" top="0.75" bottom="0.75" header="0.3" footer="0.3"/>
  <pageSetup paperSize="0" orientation="portrait" r:id="rId1"/>
</worksheet>
</file>

<file path=xl/worksheets/sheet15.xml><?xml version="1.0" encoding="utf-8"?>
<worksheet xmlns="http://schemas.openxmlformats.org/spreadsheetml/2006/main" xmlns:r="http://schemas.openxmlformats.org/officeDocument/2006/relationships">
  <sheetPr codeName="Sheet15"/>
  <dimension ref="A1:J25"/>
  <sheetViews>
    <sheetView workbookViewId="0"/>
  </sheetViews>
  <sheetFormatPr defaultRowHeight="15"/>
  <sheetData>
    <row r="1" spans="1:10">
      <c r="A1" t="s">
        <v>481</v>
      </c>
    </row>
    <row r="2" spans="1:10">
      <c r="A2" t="s">
        <v>0</v>
      </c>
      <c r="B2" t="s">
        <v>1</v>
      </c>
      <c r="C2" t="s">
        <v>249</v>
      </c>
      <c r="D2" t="s">
        <v>250</v>
      </c>
      <c r="E2" t="s">
        <v>251</v>
      </c>
      <c r="F2" t="s">
        <v>252</v>
      </c>
      <c r="G2" t="s">
        <v>253</v>
      </c>
      <c r="H2" t="s">
        <v>254</v>
      </c>
      <c r="I2" t="s">
        <v>255</v>
      </c>
      <c r="J2" t="s">
        <v>256</v>
      </c>
    </row>
    <row r="3" spans="1:10">
      <c r="A3" t="s">
        <v>257</v>
      </c>
      <c r="B3">
        <f>LAYOUT!$A$7</f>
        <v>7381</v>
      </c>
      <c r="C3">
        <f>Sheet1!C43</f>
        <v>0</v>
      </c>
      <c r="D3">
        <f>Sheet1!D43</f>
        <v>112</v>
      </c>
      <c r="E3">
        <f>Sheet1!E43</f>
        <v>212</v>
      </c>
      <c r="F3">
        <f>Sheet1!F43</f>
        <v>211</v>
      </c>
      <c r="G3">
        <f>Sheet1!G43</f>
        <v>0</v>
      </c>
      <c r="H3">
        <f>Sheet1!H43</f>
        <v>122</v>
      </c>
      <c r="I3">
        <f>Sheet1!I43</f>
        <v>221</v>
      </c>
      <c r="J3">
        <f>Sheet1!J43</f>
        <v>222</v>
      </c>
    </row>
    <row r="4" spans="1:10">
      <c r="A4" t="s">
        <v>258</v>
      </c>
      <c r="B4">
        <f>LAYOUT!$A$7</f>
        <v>7381</v>
      </c>
      <c r="C4">
        <f>Sheet1!C44</f>
        <v>0</v>
      </c>
      <c r="D4">
        <f>Sheet1!D44</f>
        <v>10</v>
      </c>
      <c r="E4">
        <f>Sheet1!E44</f>
        <v>5</v>
      </c>
      <c r="F4">
        <f>Sheet1!F44</f>
        <v>10</v>
      </c>
      <c r="G4">
        <f>Sheet1!G44</f>
        <v>0</v>
      </c>
      <c r="H4">
        <f>Sheet1!H44</f>
        <v>10</v>
      </c>
      <c r="I4">
        <f>Sheet1!I44</f>
        <v>5</v>
      </c>
      <c r="J4">
        <f>Sheet1!J44</f>
        <v>10</v>
      </c>
    </row>
    <row r="5" spans="1:10">
      <c r="A5" t="s">
        <v>259</v>
      </c>
      <c r="B5">
        <f>LAYOUT!$A$7</f>
        <v>7381</v>
      </c>
      <c r="C5">
        <f>Sheet1!C45</f>
        <v>0</v>
      </c>
      <c r="D5">
        <f>Sheet1!D45</f>
        <v>91</v>
      </c>
      <c r="E5">
        <f>Sheet1!E45</f>
        <v>102</v>
      </c>
      <c r="F5">
        <f>Sheet1!F45</f>
        <v>26</v>
      </c>
      <c r="G5">
        <f>Sheet1!G45</f>
        <v>0</v>
      </c>
      <c r="H5">
        <f>Sheet1!H45</f>
        <v>91</v>
      </c>
      <c r="I5">
        <f>Sheet1!I45</f>
        <v>5</v>
      </c>
      <c r="J5">
        <f>Sheet1!J45</f>
        <v>40</v>
      </c>
    </row>
    <row r="6" spans="1:10">
      <c r="A6" t="s">
        <v>260</v>
      </c>
      <c r="B6">
        <f>LAYOUT!$A$7</f>
        <v>7381</v>
      </c>
      <c r="C6">
        <f>Sheet1!C46</f>
        <v>0</v>
      </c>
      <c r="D6">
        <f>Sheet1!D46</f>
        <v>2.2999999999999998</v>
      </c>
      <c r="E6">
        <f>Sheet1!E46</f>
        <v>2</v>
      </c>
      <c r="F6">
        <f>Sheet1!F46</f>
        <v>1.5</v>
      </c>
      <c r="G6">
        <f>Sheet1!G46</f>
        <v>0</v>
      </c>
      <c r="H6">
        <f>Sheet1!H46</f>
        <v>2.2999999999999998</v>
      </c>
      <c r="I6">
        <f>Sheet1!I46</f>
        <v>1.5</v>
      </c>
      <c r="J6">
        <f>Sheet1!J46</f>
        <v>2</v>
      </c>
    </row>
    <row r="7" spans="1:10">
      <c r="A7" t="s">
        <v>261</v>
      </c>
      <c r="B7">
        <f>LAYOUT!$A$7</f>
        <v>7381</v>
      </c>
      <c r="C7">
        <f>Sheet1!C47</f>
        <v>0</v>
      </c>
      <c r="D7">
        <f>Sheet1!D47</f>
        <v>10</v>
      </c>
      <c r="E7">
        <f>Sheet1!E47</f>
        <v>10</v>
      </c>
      <c r="F7">
        <f>Sheet1!F47</f>
        <v>10</v>
      </c>
      <c r="G7">
        <f>Sheet1!G47</f>
        <v>0</v>
      </c>
      <c r="H7">
        <f>Sheet1!H47</f>
        <v>10</v>
      </c>
      <c r="I7">
        <f>Sheet1!I47</f>
        <v>10</v>
      </c>
      <c r="J7">
        <f>Sheet1!J47</f>
        <v>10</v>
      </c>
    </row>
    <row r="8" spans="1:10">
      <c r="A8" t="s">
        <v>262</v>
      </c>
      <c r="B8">
        <f>LAYOUT!$A$7</f>
        <v>7381</v>
      </c>
      <c r="C8">
        <f>Sheet1!C48</f>
        <v>0</v>
      </c>
      <c r="D8">
        <f>Sheet1!D48</f>
        <v>10</v>
      </c>
      <c r="E8">
        <f>Sheet1!E48</f>
        <v>33</v>
      </c>
      <c r="F8">
        <f>Sheet1!F48</f>
        <v>15</v>
      </c>
      <c r="G8">
        <f>Sheet1!G48</f>
        <v>0</v>
      </c>
      <c r="H8">
        <f>Sheet1!H48</f>
        <v>33</v>
      </c>
      <c r="I8">
        <f>Sheet1!I48</f>
        <v>33</v>
      </c>
      <c r="J8">
        <f>Sheet1!J48</f>
        <v>33</v>
      </c>
    </row>
    <row r="9" spans="1:10">
      <c r="A9" t="s">
        <v>263</v>
      </c>
      <c r="B9">
        <f>LAYOUT!$A$7</f>
        <v>7381</v>
      </c>
      <c r="C9">
        <f>Sheet1!C49</f>
        <v>0</v>
      </c>
      <c r="D9">
        <f>Sheet1!D49</f>
        <v>0.3</v>
      </c>
      <c r="E9">
        <f>Sheet1!E49</f>
        <v>0</v>
      </c>
      <c r="F9">
        <f>Sheet1!F49</f>
        <v>0</v>
      </c>
      <c r="G9">
        <f>Sheet1!G49</f>
        <v>0</v>
      </c>
      <c r="H9">
        <f>Sheet1!H49</f>
        <v>0.3</v>
      </c>
      <c r="I9">
        <f>Sheet1!I49</f>
        <v>0</v>
      </c>
      <c r="J9">
        <f>Sheet1!J49</f>
        <v>0</v>
      </c>
    </row>
    <row r="10" spans="1:10">
      <c r="A10" t="s">
        <v>264</v>
      </c>
      <c r="B10">
        <f>LAYOUT!$A$7</f>
        <v>7381</v>
      </c>
      <c r="C10">
        <f>Sheet1!C50</f>
        <v>0</v>
      </c>
      <c r="D10">
        <f>Sheet1!D50</f>
        <v>3.9</v>
      </c>
      <c r="E10">
        <f>Sheet1!E50</f>
        <v>3.2</v>
      </c>
      <c r="F10">
        <f>Sheet1!F50</f>
        <v>3</v>
      </c>
      <c r="G10">
        <f>Sheet1!G50</f>
        <v>0</v>
      </c>
      <c r="H10">
        <f>Sheet1!H50</f>
        <v>3.9</v>
      </c>
      <c r="I10">
        <f>Sheet1!I50</f>
        <v>3</v>
      </c>
      <c r="J10">
        <f>Sheet1!J50</f>
        <v>3.2</v>
      </c>
    </row>
    <row r="11" spans="1:10">
      <c r="A11" t="s">
        <v>265</v>
      </c>
      <c r="B11">
        <f>LAYOUT!$A$7</f>
        <v>7381</v>
      </c>
      <c r="C11">
        <f>Sheet1!C51</f>
        <v>0</v>
      </c>
      <c r="D11">
        <f>Sheet1!D51</f>
        <v>1.9</v>
      </c>
      <c r="E11">
        <f>Sheet1!E51</f>
        <v>2.5</v>
      </c>
      <c r="F11">
        <f>Sheet1!F51</f>
        <v>2.5</v>
      </c>
      <c r="G11">
        <f>Sheet1!G51</f>
        <v>0</v>
      </c>
      <c r="H11">
        <f>Sheet1!H51</f>
        <v>1.9</v>
      </c>
      <c r="I11">
        <f>Sheet1!I51</f>
        <v>2.5</v>
      </c>
      <c r="J11">
        <f>Sheet1!J51</f>
        <v>2.5</v>
      </c>
    </row>
    <row r="12" spans="1:10">
      <c r="A12" t="s">
        <v>266</v>
      </c>
      <c r="B12">
        <f>LAYOUT!$A$7</f>
        <v>7381</v>
      </c>
      <c r="C12">
        <f>Sheet1!C52</f>
        <v>0</v>
      </c>
      <c r="D12">
        <f>Sheet1!D52</f>
        <v>1</v>
      </c>
      <c r="E12">
        <f>Sheet1!E52</f>
        <v>0</v>
      </c>
      <c r="F12">
        <f>Sheet1!F52</f>
        <v>1</v>
      </c>
      <c r="G12">
        <f>Sheet1!G52</f>
        <v>0</v>
      </c>
      <c r="H12">
        <f>Sheet1!H52</f>
        <v>1</v>
      </c>
      <c r="I12">
        <f>Sheet1!I52</f>
        <v>0</v>
      </c>
      <c r="J12">
        <f>Sheet1!J52</f>
        <v>1</v>
      </c>
    </row>
    <row r="13" spans="1:10">
      <c r="A13" t="s">
        <v>267</v>
      </c>
      <c r="B13">
        <f>LAYOUT!$A$7</f>
        <v>7381</v>
      </c>
      <c r="C13">
        <f>Sheet1!C53</f>
        <v>0</v>
      </c>
      <c r="D13">
        <f>Sheet1!D53</f>
        <v>5</v>
      </c>
      <c r="E13">
        <f>Sheet1!E53</f>
        <v>0</v>
      </c>
      <c r="F13">
        <f>Sheet1!F53</f>
        <v>5</v>
      </c>
      <c r="G13">
        <f>Sheet1!G53</f>
        <v>0</v>
      </c>
      <c r="H13">
        <f>Sheet1!H53</f>
        <v>5</v>
      </c>
      <c r="I13">
        <f>Sheet1!I53</f>
        <v>0</v>
      </c>
      <c r="J13">
        <f>Sheet1!J53</f>
        <v>5</v>
      </c>
    </row>
    <row r="14" spans="1:10">
      <c r="A14" t="s">
        <v>268</v>
      </c>
      <c r="B14">
        <f>LAYOUT!$A$7</f>
        <v>7381</v>
      </c>
      <c r="C14">
        <f>Sheet1!C54</f>
        <v>0</v>
      </c>
      <c r="D14">
        <f>Sheet1!D54</f>
        <v>24</v>
      </c>
      <c r="E14">
        <f>Sheet1!E54</f>
        <v>0</v>
      </c>
      <c r="F14">
        <f>Sheet1!F54</f>
        <v>20</v>
      </c>
      <c r="G14">
        <f>Sheet1!G54</f>
        <v>0</v>
      </c>
      <c r="H14">
        <f>Sheet1!H54</f>
        <v>24</v>
      </c>
      <c r="I14">
        <f>Sheet1!I54</f>
        <v>0</v>
      </c>
      <c r="J14">
        <f>Sheet1!J54</f>
        <v>24</v>
      </c>
    </row>
    <row r="15" spans="1:10">
      <c r="A15" t="s">
        <v>269</v>
      </c>
      <c r="B15">
        <f>LAYOUT!$A$7</f>
        <v>7381</v>
      </c>
      <c r="C15">
        <f>Sheet1!C55</f>
        <v>0</v>
      </c>
      <c r="D15">
        <f>Sheet1!D55</f>
        <v>1</v>
      </c>
      <c r="E15">
        <f>Sheet1!E55</f>
        <v>0</v>
      </c>
      <c r="F15">
        <f>Sheet1!F55</f>
        <v>1</v>
      </c>
      <c r="G15">
        <f>Sheet1!G55</f>
        <v>0</v>
      </c>
      <c r="H15">
        <f>Sheet1!H55</f>
        <v>1</v>
      </c>
      <c r="I15">
        <f>Sheet1!I55</f>
        <v>0</v>
      </c>
      <c r="J15">
        <f>Sheet1!J55</f>
        <v>1</v>
      </c>
    </row>
    <row r="16" spans="1:10">
      <c r="A16" t="s">
        <v>270</v>
      </c>
      <c r="B16">
        <f>LAYOUT!$A$7</f>
        <v>7381</v>
      </c>
      <c r="C16">
        <f>Sheet1!C56</f>
        <v>0</v>
      </c>
      <c r="D16">
        <f>Sheet1!D56</f>
        <v>35</v>
      </c>
      <c r="E16">
        <f>Sheet1!E56</f>
        <v>9</v>
      </c>
      <c r="F16">
        <f>Sheet1!F56</f>
        <v>31</v>
      </c>
      <c r="G16">
        <f>Sheet1!G56</f>
        <v>0</v>
      </c>
      <c r="H16">
        <f>Sheet1!H56</f>
        <v>35</v>
      </c>
      <c r="I16">
        <f>Sheet1!I56</f>
        <v>9</v>
      </c>
      <c r="J16">
        <f>Sheet1!J56</f>
        <v>35</v>
      </c>
    </row>
    <row r="17" spans="1:10">
      <c r="A17" t="s">
        <v>271</v>
      </c>
      <c r="B17">
        <f>LAYOUT!$A$7</f>
        <v>7381</v>
      </c>
      <c r="C17">
        <f>Sheet1!C57</f>
        <v>0</v>
      </c>
      <c r="D17">
        <f>Sheet1!D57</f>
        <v>1</v>
      </c>
      <c r="E17">
        <f>Sheet1!E57</f>
        <v>0</v>
      </c>
      <c r="F17">
        <f>Sheet1!F57</f>
        <v>1</v>
      </c>
      <c r="G17">
        <f>Sheet1!G57</f>
        <v>0</v>
      </c>
      <c r="H17">
        <f>Sheet1!H57</f>
        <v>1</v>
      </c>
      <c r="I17">
        <f>Sheet1!I57</f>
        <v>0</v>
      </c>
      <c r="J17">
        <f>Sheet1!J57</f>
        <v>1</v>
      </c>
    </row>
    <row r="18" spans="1:10">
      <c r="A18" t="s">
        <v>272</v>
      </c>
      <c r="B18">
        <f>LAYOUT!$A$7</f>
        <v>7381</v>
      </c>
      <c r="C18">
        <f>Sheet1!C58</f>
        <v>0</v>
      </c>
      <c r="D18">
        <f>Sheet1!D58</f>
        <v>1</v>
      </c>
      <c r="E18">
        <f>Sheet1!E58</f>
        <v>1</v>
      </c>
      <c r="F18">
        <f>Sheet1!F58</f>
        <v>1</v>
      </c>
      <c r="G18">
        <f>Sheet1!G58</f>
        <v>0</v>
      </c>
      <c r="H18">
        <f>Sheet1!H58</f>
        <v>1</v>
      </c>
      <c r="I18">
        <f>Sheet1!I58</f>
        <v>1</v>
      </c>
      <c r="J18">
        <f>Sheet1!J58</f>
        <v>1</v>
      </c>
    </row>
    <row r="19" spans="1:10">
      <c r="A19" t="s">
        <v>273</v>
      </c>
      <c r="B19">
        <f>LAYOUT!$A$7</f>
        <v>7381</v>
      </c>
      <c r="C19">
        <f>Sheet1!C59</f>
        <v>0</v>
      </c>
      <c r="D19">
        <f>Sheet1!D59</f>
        <v>0</v>
      </c>
      <c r="E19">
        <f>Sheet1!E59</f>
        <v>96</v>
      </c>
      <c r="F19">
        <f>Sheet1!F59</f>
        <v>119</v>
      </c>
      <c r="G19">
        <f>Sheet1!G59</f>
        <v>0</v>
      </c>
      <c r="H19">
        <f>Sheet1!H59</f>
        <v>0</v>
      </c>
      <c r="I19">
        <f>Sheet1!I59</f>
        <v>96</v>
      </c>
      <c r="J19">
        <f>Sheet1!J59</f>
        <v>105</v>
      </c>
    </row>
    <row r="20" spans="1:10">
      <c r="A20" t="s">
        <v>274</v>
      </c>
      <c r="B20">
        <f>LAYOUT!$A$7</f>
        <v>7381</v>
      </c>
      <c r="C20">
        <f>Sheet1!C60</f>
        <v>0</v>
      </c>
      <c r="D20">
        <f>Sheet1!D60</f>
        <v>96</v>
      </c>
      <c r="E20">
        <f>Sheet1!E60</f>
        <v>119</v>
      </c>
      <c r="F20">
        <f>Sheet1!F60</f>
        <v>150</v>
      </c>
      <c r="G20">
        <f>Sheet1!G60</f>
        <v>0</v>
      </c>
      <c r="H20">
        <f>Sheet1!H60</f>
        <v>96</v>
      </c>
      <c r="I20">
        <f>Sheet1!I60</f>
        <v>105</v>
      </c>
      <c r="J20">
        <f>Sheet1!J60</f>
        <v>150</v>
      </c>
    </row>
    <row r="21" spans="1:10">
      <c r="A21" t="s">
        <v>275</v>
      </c>
      <c r="B21">
        <f>LAYOUT!$A$7</f>
        <v>7381</v>
      </c>
      <c r="C21">
        <f>Sheet1!C61</f>
        <v>0</v>
      </c>
      <c r="D21">
        <f>Sheet1!D61</f>
        <v>90</v>
      </c>
      <c r="E21">
        <f>Sheet1!E61</f>
        <v>113</v>
      </c>
      <c r="F21">
        <f>Sheet1!F61</f>
        <v>145</v>
      </c>
      <c r="G21">
        <f>Sheet1!G61</f>
        <v>0</v>
      </c>
      <c r="H21">
        <f>Sheet1!H61</f>
        <v>90</v>
      </c>
      <c r="I21">
        <f>Sheet1!I61</f>
        <v>100</v>
      </c>
      <c r="J21">
        <f>Sheet1!J61</f>
        <v>144</v>
      </c>
    </row>
    <row r="22" spans="1:10">
      <c r="A22" t="s">
        <v>276</v>
      </c>
      <c r="B22">
        <f>LAYOUT!$A$7</f>
        <v>7381</v>
      </c>
      <c r="C22">
        <f>Sheet1!C62</f>
        <v>0</v>
      </c>
      <c r="D22">
        <f>Sheet1!D62</f>
        <v>90</v>
      </c>
      <c r="E22">
        <f>Sheet1!E62</f>
        <v>113</v>
      </c>
      <c r="F22">
        <f>Sheet1!F62</f>
        <v>145</v>
      </c>
      <c r="G22">
        <f>Sheet1!G62</f>
        <v>0</v>
      </c>
      <c r="H22">
        <f>Sheet1!H62</f>
        <v>90</v>
      </c>
      <c r="I22">
        <f>Sheet1!I62</f>
        <v>100</v>
      </c>
      <c r="J22">
        <f>Sheet1!J62</f>
        <v>144</v>
      </c>
    </row>
    <row r="23" spans="1:10">
      <c r="A23" t="s">
        <v>277</v>
      </c>
      <c r="B23">
        <f>LAYOUT!$A$7</f>
        <v>7381</v>
      </c>
      <c r="C23">
        <f>Sheet1!C63</f>
        <v>0</v>
      </c>
      <c r="D23">
        <f>Sheet1!D63</f>
        <v>0</v>
      </c>
      <c r="E23">
        <f>Sheet1!E63</f>
        <v>96</v>
      </c>
      <c r="F23">
        <f>Sheet1!F63</f>
        <v>119</v>
      </c>
      <c r="G23">
        <f>Sheet1!G63</f>
        <v>0</v>
      </c>
      <c r="H23">
        <f>Sheet1!H63</f>
        <v>0</v>
      </c>
      <c r="I23">
        <f>Sheet1!I63</f>
        <v>96</v>
      </c>
      <c r="J23">
        <f>Sheet1!J63</f>
        <v>105</v>
      </c>
    </row>
    <row r="24" spans="1:10">
      <c r="A24" t="s">
        <v>278</v>
      </c>
      <c r="B24">
        <f>LAYOUT!$A$7</f>
        <v>7381</v>
      </c>
      <c r="C24">
        <f>Sheet1!C64</f>
        <v>0</v>
      </c>
      <c r="D24">
        <f>Sheet1!D64</f>
        <v>90</v>
      </c>
      <c r="E24">
        <f>Sheet1!E64</f>
        <v>113</v>
      </c>
      <c r="F24">
        <f>Sheet1!F64</f>
        <v>145</v>
      </c>
      <c r="G24">
        <f>Sheet1!G64</f>
        <v>0</v>
      </c>
      <c r="H24">
        <f>Sheet1!H64</f>
        <v>90</v>
      </c>
      <c r="I24">
        <f>Sheet1!I64</f>
        <v>100</v>
      </c>
      <c r="J24">
        <f>Sheet1!J64</f>
        <v>144</v>
      </c>
    </row>
    <row r="25" spans="1:10">
      <c r="A25" t="s">
        <v>279</v>
      </c>
      <c r="B25">
        <f>LAYOUT!$A$7</f>
        <v>7381</v>
      </c>
      <c r="C25">
        <f>Sheet1!C65</f>
        <v>0</v>
      </c>
      <c r="D25">
        <f>Sheet1!D65</f>
        <v>90</v>
      </c>
      <c r="E25">
        <f>Sheet1!E65</f>
        <v>113</v>
      </c>
      <c r="F25">
        <f>Sheet1!F65</f>
        <v>145</v>
      </c>
      <c r="G25">
        <f>Sheet1!G65</f>
        <v>0</v>
      </c>
      <c r="H25">
        <f>Sheet1!H65</f>
        <v>90</v>
      </c>
      <c r="I25">
        <f>Sheet1!I65</f>
        <v>100</v>
      </c>
      <c r="J25">
        <f>Sheet1!J65</f>
        <v>144</v>
      </c>
    </row>
  </sheetData>
  <pageMargins left="0.7" right="0.7" top="0.75" bottom="0.75" header="0.3" footer="0.3"/>
  <pageSetup paperSize="0" orientation="portrait" r:id="rId1"/>
</worksheet>
</file>

<file path=xl/worksheets/sheet16.xml><?xml version="1.0" encoding="utf-8"?>
<worksheet xmlns="http://schemas.openxmlformats.org/spreadsheetml/2006/main" xmlns:r="http://schemas.openxmlformats.org/officeDocument/2006/relationships">
  <sheetPr codeName="Sheet16"/>
  <dimension ref="A1:O3"/>
  <sheetViews>
    <sheetView workbookViewId="0"/>
  </sheetViews>
  <sheetFormatPr defaultRowHeight="15"/>
  <sheetData>
    <row r="1" spans="1:15">
      <c r="A1" t="s">
        <v>482</v>
      </c>
    </row>
    <row r="2" spans="1:15">
      <c r="A2" t="s">
        <v>483</v>
      </c>
      <c r="B2" t="s">
        <v>1</v>
      </c>
      <c r="C2" t="s">
        <v>63</v>
      </c>
      <c r="D2" t="s">
        <v>64</v>
      </c>
      <c r="E2" t="s">
        <v>65</v>
      </c>
      <c r="F2" t="s">
        <v>66</v>
      </c>
      <c r="G2" t="s">
        <v>67</v>
      </c>
      <c r="H2" t="s">
        <v>68</v>
      </c>
      <c r="I2" t="s">
        <v>69</v>
      </c>
      <c r="J2" t="s">
        <v>70</v>
      </c>
      <c r="K2" t="s">
        <v>71</v>
      </c>
      <c r="L2" t="s">
        <v>72</v>
      </c>
      <c r="M2" t="s">
        <v>73</v>
      </c>
      <c r="N2" t="s">
        <v>74</v>
      </c>
      <c r="O2" t="s">
        <v>484</v>
      </c>
    </row>
    <row r="3" spans="1:15">
      <c r="A3">
        <v>1</v>
      </c>
      <c r="B3">
        <f>PHASING!B3</f>
        <v>7381</v>
      </c>
      <c r="C3">
        <f>Sheet1!B41</f>
        <v>0</v>
      </c>
      <c r="D3">
        <f>Sheet1!C41</f>
        <v>96</v>
      </c>
      <c r="E3">
        <f>Sheet1!D41</f>
        <v>23</v>
      </c>
      <c r="F3">
        <f>Sheet1!E41</f>
        <v>31</v>
      </c>
      <c r="G3">
        <f>Sheet1!F41</f>
        <v>0</v>
      </c>
      <c r="H3">
        <f>Sheet1!G41</f>
        <v>96</v>
      </c>
      <c r="I3">
        <f>Sheet1!H41</f>
        <v>9</v>
      </c>
      <c r="J3">
        <f>Sheet1!I41</f>
        <v>45</v>
      </c>
      <c r="K3">
        <f>Sheet1!J41</f>
        <v>150</v>
      </c>
      <c r="L3">
        <v>0</v>
      </c>
      <c r="M3">
        <v>0</v>
      </c>
      <c r="N3">
        <v>0</v>
      </c>
    </row>
  </sheetData>
  <pageMargins left="0.7" right="0.7" top="0.75" bottom="0.75" header="0.3" footer="0.3"/>
  <pageSetup paperSize="0" orientation="portrait" r:id="rId1"/>
</worksheet>
</file>

<file path=xl/worksheets/sheet17.xml><?xml version="1.0" encoding="utf-8"?>
<worksheet xmlns="http://schemas.openxmlformats.org/spreadsheetml/2006/main" xmlns:r="http://schemas.openxmlformats.org/officeDocument/2006/relationships">
  <sheetPr codeName="Sheet17"/>
  <dimension ref="A1:M48"/>
  <sheetViews>
    <sheetView showGridLines="0" zoomScale="60" zoomScaleNormal="60" workbookViewId="0">
      <selection sqref="A1:D1"/>
    </sheetView>
  </sheetViews>
  <sheetFormatPr defaultRowHeight="17.25"/>
  <cols>
    <col min="1" max="1" width="29.7109375" style="427" bestFit="1" customWidth="1"/>
    <col min="2" max="13" width="11.7109375" style="426" customWidth="1"/>
    <col min="14" max="16384" width="9.140625" style="427"/>
  </cols>
  <sheetData>
    <row r="1" spans="1:13">
      <c r="A1" s="548" t="s">
        <v>494</v>
      </c>
      <c r="B1" s="548"/>
      <c r="C1" s="548"/>
      <c r="D1" s="548"/>
    </row>
    <row r="2" spans="1:13" ht="18" thickBot="1">
      <c r="A2" s="428" t="str">
        <f>'Input sheet'!I26&amp;" &amp; "&amp;'Input sheet'!R13</f>
        <v>Foothill &amp; Wakara</v>
      </c>
      <c r="B2" s="429"/>
      <c r="C2" s="429"/>
      <c r="D2" s="429"/>
      <c r="E2" s="429"/>
      <c r="F2" s="429"/>
      <c r="G2" s="429"/>
      <c r="H2" s="429"/>
      <c r="I2" s="429"/>
      <c r="J2" s="429"/>
      <c r="K2" s="429"/>
      <c r="L2" s="557">
        <f ca="1">TODAY()</f>
        <v>41571</v>
      </c>
      <c r="M2" s="557"/>
    </row>
    <row r="3" spans="1:13" ht="26.25" customHeight="1">
      <c r="A3" s="466"/>
      <c r="B3" s="558" t="str">
        <f>'Input sheet'!A13</f>
        <v>Wakara</v>
      </c>
      <c r="C3" s="559"/>
      <c r="D3" s="559"/>
      <c r="E3" s="558" t="str">
        <f>'Input sheet'!R13</f>
        <v>Wakara</v>
      </c>
      <c r="F3" s="559"/>
      <c r="G3" s="559"/>
      <c r="H3" s="558" t="str">
        <f>'Input sheet'!I26</f>
        <v>Foothill</v>
      </c>
      <c r="I3" s="559"/>
      <c r="J3" s="559"/>
      <c r="K3" s="558" t="str">
        <f>'Input sheet'!I2</f>
        <v>Foothill</v>
      </c>
      <c r="L3" s="559"/>
      <c r="M3" s="559"/>
    </row>
    <row r="4" spans="1:13" ht="42.75" customHeight="1">
      <c r="B4" s="435"/>
      <c r="C4" s="434"/>
      <c r="D4" s="434"/>
      <c r="E4" s="435"/>
      <c r="F4" s="434"/>
      <c r="G4" s="434"/>
      <c r="H4" s="435"/>
      <c r="I4" s="434"/>
      <c r="J4" s="434"/>
      <c r="K4" s="435"/>
      <c r="L4" s="434"/>
      <c r="M4" s="434"/>
    </row>
    <row r="5" spans="1:13">
      <c r="A5" s="430" t="s">
        <v>76</v>
      </c>
      <c r="B5" s="431" t="s">
        <v>13</v>
      </c>
      <c r="C5" s="431" t="s">
        <v>14</v>
      </c>
      <c r="D5" s="431" t="s">
        <v>15</v>
      </c>
      <c r="E5" s="432" t="s">
        <v>18</v>
      </c>
      <c r="F5" s="431" t="s">
        <v>19</v>
      </c>
      <c r="G5" s="431" t="s">
        <v>20</v>
      </c>
      <c r="H5" s="432" t="s">
        <v>3</v>
      </c>
      <c r="I5" s="431" t="s">
        <v>4</v>
      </c>
      <c r="J5" s="431" t="s">
        <v>5</v>
      </c>
      <c r="K5" s="432" t="s">
        <v>8</v>
      </c>
      <c r="L5" s="431" t="s">
        <v>9</v>
      </c>
      <c r="M5" s="431" t="s">
        <v>10</v>
      </c>
    </row>
    <row r="6" spans="1:13">
      <c r="A6" s="433" t="s">
        <v>530</v>
      </c>
      <c r="B6" s="434">
        <f>'Phase calculation'!C6</f>
        <v>1</v>
      </c>
      <c r="C6" s="434">
        <f>'Phase calculation'!D6</f>
        <v>2</v>
      </c>
      <c r="D6" s="434">
        <f>'Phase calculation'!E6</f>
        <v>1</v>
      </c>
      <c r="E6" s="435">
        <f>'Phase calculation'!F6</f>
        <v>1</v>
      </c>
      <c r="F6" s="434">
        <f>'Phase calculation'!G6</f>
        <v>3</v>
      </c>
      <c r="G6" s="434">
        <f>'Phase calculation'!H6</f>
        <v>1</v>
      </c>
      <c r="H6" s="435">
        <f>'Phase calculation'!I6</f>
        <v>1</v>
      </c>
      <c r="I6" s="434">
        <f>'Phase calculation'!J6</f>
        <v>3</v>
      </c>
      <c r="J6" s="434">
        <f>'Phase calculation'!K6</f>
        <v>1</v>
      </c>
      <c r="K6" s="435">
        <f>'Phase calculation'!L6</f>
        <v>1</v>
      </c>
      <c r="L6" s="434">
        <f>'Phase calculation'!M6</f>
        <v>3</v>
      </c>
      <c r="M6" s="434">
        <f>'Phase calculation'!N6</f>
        <v>1</v>
      </c>
    </row>
    <row r="7" spans="1:13">
      <c r="A7" s="436" t="s">
        <v>495</v>
      </c>
      <c r="B7" s="437">
        <f>'Input sheet'!$P$2</f>
        <v>1900</v>
      </c>
      <c r="C7" s="437">
        <f>'Input sheet'!$P$2</f>
        <v>1900</v>
      </c>
      <c r="D7" s="437">
        <f>'Input sheet'!$P$2</f>
        <v>1900</v>
      </c>
      <c r="E7" s="470">
        <f>'Input sheet'!$P$2</f>
        <v>1900</v>
      </c>
      <c r="F7" s="469">
        <f>'Input sheet'!$P$2</f>
        <v>1900</v>
      </c>
      <c r="G7" s="469">
        <f>'Input sheet'!$P$2</f>
        <v>1900</v>
      </c>
      <c r="H7" s="470">
        <f>'Input sheet'!$P$2</f>
        <v>1900</v>
      </c>
      <c r="I7" s="469">
        <f>'Input sheet'!$P$2</f>
        <v>1900</v>
      </c>
      <c r="J7" s="469">
        <f>'Input sheet'!$P$2</f>
        <v>1900</v>
      </c>
      <c r="K7" s="470">
        <f>'Input sheet'!$P$2</f>
        <v>1900</v>
      </c>
      <c r="L7" s="469">
        <f>'Input sheet'!$P$2</f>
        <v>1900</v>
      </c>
      <c r="M7" s="469">
        <f>'Input sheet'!$P$2</f>
        <v>1900</v>
      </c>
    </row>
    <row r="8" spans="1:13">
      <c r="A8" s="433" t="s">
        <v>496</v>
      </c>
      <c r="B8" s="438">
        <f>'Phase calculation'!C20</f>
        <v>4</v>
      </c>
      <c r="C8" s="438">
        <f>'Phase calculation'!D20</f>
        <v>4</v>
      </c>
      <c r="D8" s="438">
        <f>'Phase calculation'!E20</f>
        <v>4</v>
      </c>
      <c r="E8" s="467">
        <f>'Phase calculation'!F20</f>
        <v>4</v>
      </c>
      <c r="F8" s="468">
        <f>'Phase calculation'!G20</f>
        <v>4</v>
      </c>
      <c r="G8" s="468">
        <f>'Phase calculation'!H20</f>
        <v>4</v>
      </c>
      <c r="H8" s="467">
        <f>'Phase calculation'!I20</f>
        <v>4</v>
      </c>
      <c r="I8" s="468">
        <f>'Phase calculation'!J20</f>
        <v>4</v>
      </c>
      <c r="J8" s="468">
        <f>'Phase calculation'!K20</f>
        <v>4</v>
      </c>
      <c r="K8" s="467">
        <f>'Phase calculation'!L20</f>
        <v>4</v>
      </c>
      <c r="L8" s="468">
        <f>'Phase calculation'!M20</f>
        <v>4</v>
      </c>
      <c r="M8" s="468">
        <f>'Phase calculation'!N20</f>
        <v>4</v>
      </c>
    </row>
    <row r="9" spans="1:13">
      <c r="A9" s="436" t="s">
        <v>497</v>
      </c>
      <c r="B9" s="439">
        <f>'Phase calculation'!C10</f>
        <v>1</v>
      </c>
      <c r="C9" s="439">
        <f>'Phase calculation'!D10</f>
        <v>0.95199999999999996</v>
      </c>
      <c r="D9" s="439">
        <f>'Phase calculation'!E10</f>
        <v>0</v>
      </c>
      <c r="E9" s="440">
        <f>'Phase calculation'!F10</f>
        <v>1</v>
      </c>
      <c r="F9" s="439">
        <f>'Phase calculation'!G10</f>
        <v>0.90800000000000003</v>
      </c>
      <c r="G9" s="439">
        <f>'Phase calculation'!H10</f>
        <v>0</v>
      </c>
      <c r="H9" s="440">
        <f>'Phase calculation'!I10</f>
        <v>1</v>
      </c>
      <c r="I9" s="439">
        <f>'Phase calculation'!J10</f>
        <v>0.90800000000000003</v>
      </c>
      <c r="J9" s="439">
        <f>'Phase calculation'!K10</f>
        <v>0</v>
      </c>
      <c r="K9" s="440">
        <f>'Phase calculation'!L10</f>
        <v>1</v>
      </c>
      <c r="L9" s="439">
        <f>'Phase calculation'!M10</f>
        <v>0.90800000000000003</v>
      </c>
      <c r="M9" s="439">
        <f>'Phase calculation'!N10</f>
        <v>0</v>
      </c>
    </row>
    <row r="10" spans="1:13">
      <c r="A10" s="433" t="s">
        <v>498</v>
      </c>
      <c r="B10" s="441">
        <v>1</v>
      </c>
      <c r="C10" s="441">
        <v>1</v>
      </c>
      <c r="D10" s="441">
        <f>MAX('Lane volumes'!C7:D7)</f>
        <v>0.85</v>
      </c>
      <c r="E10" s="442">
        <v>1</v>
      </c>
      <c r="F10" s="441">
        <v>1</v>
      </c>
      <c r="G10" s="441">
        <f>MAX('Lane volumes'!U7:V7)</f>
        <v>0.85</v>
      </c>
      <c r="H10" s="442">
        <v>1</v>
      </c>
      <c r="I10" s="441">
        <v>1</v>
      </c>
      <c r="J10" s="441">
        <f>MAX('Lane volumes'!AL7:AM7)</f>
        <v>0.85</v>
      </c>
      <c r="K10" s="442">
        <v>1</v>
      </c>
      <c r="L10" s="441">
        <v>1</v>
      </c>
      <c r="M10" s="441">
        <f>MAX('Lane volumes'!BC7:BD7)</f>
        <v>0.85</v>
      </c>
    </row>
    <row r="11" spans="1:13">
      <c r="A11" s="436" t="s">
        <v>499</v>
      </c>
      <c r="B11" s="439">
        <f>'Lane volumes'!C14</f>
        <v>0.95</v>
      </c>
      <c r="C11" s="439">
        <v>1</v>
      </c>
      <c r="D11" s="439">
        <v>1</v>
      </c>
      <c r="E11" s="440">
        <f>'Lane volumes'!U14</f>
        <v>0.95</v>
      </c>
      <c r="F11" s="439">
        <v>1</v>
      </c>
      <c r="G11" s="439">
        <v>1</v>
      </c>
      <c r="H11" s="440">
        <f>'Lane volumes'!AL14</f>
        <v>0.95</v>
      </c>
      <c r="I11" s="439">
        <v>1</v>
      </c>
      <c r="J11" s="439">
        <v>1</v>
      </c>
      <c r="K11" s="440">
        <f>'Lane volumes'!BC14</f>
        <v>0.95</v>
      </c>
      <c r="L11" s="439">
        <v>1</v>
      </c>
      <c r="M11" s="439">
        <v>1</v>
      </c>
    </row>
    <row r="12" spans="1:13">
      <c r="A12" s="433" t="s">
        <v>500</v>
      </c>
      <c r="B12" s="434">
        <f>'Phase calculation'!C11</f>
        <v>1408</v>
      </c>
      <c r="C12" s="434">
        <f>'Phase calculation'!D11</f>
        <v>2815</v>
      </c>
      <c r="D12" s="434">
        <f>'Phase calculation'!E11</f>
        <v>1408</v>
      </c>
      <c r="E12" s="435">
        <f>'Phase calculation'!F11</f>
        <v>1408</v>
      </c>
      <c r="F12" s="434">
        <f>'Phase calculation'!G11</f>
        <v>4223</v>
      </c>
      <c r="G12" s="434">
        <f>'Phase calculation'!H11</f>
        <v>1408</v>
      </c>
      <c r="H12" s="435">
        <f>'Phase calculation'!I11</f>
        <v>0</v>
      </c>
      <c r="I12" s="434">
        <f>'Phase calculation'!J11</f>
        <v>4223</v>
      </c>
      <c r="J12" s="434">
        <f>'Phase calculation'!K11</f>
        <v>1408</v>
      </c>
      <c r="K12" s="435">
        <f>'Phase calculation'!L11</f>
        <v>0</v>
      </c>
      <c r="L12" s="434">
        <f>'Phase calculation'!M11</f>
        <v>4223</v>
      </c>
      <c r="M12" s="434">
        <f>'Phase calculation'!N11</f>
        <v>1408</v>
      </c>
    </row>
    <row r="13" spans="1:13">
      <c r="A13" s="436" t="s">
        <v>501</v>
      </c>
      <c r="B13" s="439">
        <f>B11</f>
        <v>0.95</v>
      </c>
      <c r="C13" s="439">
        <f t="shared" ref="C13:M13" si="0">C11</f>
        <v>1</v>
      </c>
      <c r="D13" s="439">
        <f t="shared" si="0"/>
        <v>1</v>
      </c>
      <c r="E13" s="440">
        <f t="shared" si="0"/>
        <v>0.95</v>
      </c>
      <c r="F13" s="439">
        <f t="shared" si="0"/>
        <v>1</v>
      </c>
      <c r="G13" s="439">
        <f t="shared" si="0"/>
        <v>1</v>
      </c>
      <c r="H13" s="440">
        <f t="shared" si="0"/>
        <v>0.95</v>
      </c>
      <c r="I13" s="439">
        <f t="shared" si="0"/>
        <v>1</v>
      </c>
      <c r="J13" s="439">
        <f t="shared" si="0"/>
        <v>1</v>
      </c>
      <c r="K13" s="440">
        <f t="shared" si="0"/>
        <v>0.95</v>
      </c>
      <c r="L13" s="439">
        <f t="shared" si="0"/>
        <v>1</v>
      </c>
      <c r="M13" s="439">
        <f t="shared" si="0"/>
        <v>1</v>
      </c>
    </row>
    <row r="14" spans="1:13">
      <c r="A14" s="443" t="s">
        <v>502</v>
      </c>
      <c r="B14" s="444">
        <f>'Phase calculation'!C14</f>
        <v>845</v>
      </c>
      <c r="C14" s="444">
        <f>'Phase calculation'!D14</f>
        <v>2815</v>
      </c>
      <c r="D14" s="444">
        <f>'Phase calculation'!E14</f>
        <v>1408</v>
      </c>
      <c r="E14" s="445">
        <f>'Phase calculation'!F14</f>
        <v>1293</v>
      </c>
      <c r="F14" s="444">
        <f>'Phase calculation'!G14</f>
        <v>4223</v>
      </c>
      <c r="G14" s="444">
        <f>'Phase calculation'!H14</f>
        <v>1408</v>
      </c>
      <c r="H14" s="445">
        <f>'Phase calculation'!I14</f>
        <v>367</v>
      </c>
      <c r="I14" s="444">
        <f>'Phase calculation'!J14</f>
        <v>4223</v>
      </c>
      <c r="J14" s="444">
        <f>'Phase calculation'!K14</f>
        <v>1408</v>
      </c>
      <c r="K14" s="445">
        <f>'Phase calculation'!L14</f>
        <v>629</v>
      </c>
      <c r="L14" s="444">
        <f>'Phase calculation'!M14</f>
        <v>4223</v>
      </c>
      <c r="M14" s="444">
        <f>'Phase calculation'!N14</f>
        <v>1408</v>
      </c>
    </row>
    <row r="15" spans="1:13">
      <c r="A15" s="436" t="s">
        <v>503</v>
      </c>
      <c r="B15" s="437">
        <f>'Phase calculation'!C3</f>
        <v>28</v>
      </c>
      <c r="C15" s="437">
        <f>'Phase calculation'!D3</f>
        <v>0</v>
      </c>
      <c r="D15" s="437">
        <f>'Phase calculation'!E3</f>
        <v>97</v>
      </c>
      <c r="E15" s="470">
        <f>'Phase calculation'!F3</f>
        <v>803</v>
      </c>
      <c r="F15" s="469">
        <f>'Phase calculation'!G3</f>
        <v>1</v>
      </c>
      <c r="G15" s="469">
        <f>'Phase calculation'!H3</f>
        <v>560</v>
      </c>
      <c r="H15" s="470">
        <f>'Phase calculation'!I3</f>
        <v>15</v>
      </c>
      <c r="I15" s="469">
        <f>'Phase calculation'!J3</f>
        <v>738</v>
      </c>
      <c r="J15" s="469">
        <f>'Phase calculation'!K3</f>
        <v>141</v>
      </c>
      <c r="K15" s="470">
        <f>'Phase calculation'!L3</f>
        <v>124</v>
      </c>
      <c r="L15" s="469">
        <f>'Phase calculation'!M3</f>
        <v>1422</v>
      </c>
      <c r="M15" s="469">
        <f>'Phase calculation'!N3</f>
        <v>23</v>
      </c>
    </row>
    <row r="16" spans="1:13">
      <c r="A16" s="446" t="s">
        <v>57</v>
      </c>
      <c r="B16" s="434">
        <f>'Phase calculation'!C4</f>
        <v>0.92</v>
      </c>
      <c r="C16" s="434">
        <f>'Phase calculation'!D4</f>
        <v>0.92</v>
      </c>
      <c r="D16" s="434">
        <f>'Phase calculation'!E4</f>
        <v>0.92</v>
      </c>
      <c r="E16" s="435">
        <f>'Phase calculation'!F4</f>
        <v>0.92</v>
      </c>
      <c r="F16" s="434">
        <f>'Phase calculation'!G4</f>
        <v>0.92</v>
      </c>
      <c r="G16" s="434">
        <f>'Phase calculation'!H4</f>
        <v>0.92</v>
      </c>
      <c r="H16" s="435">
        <f>'Phase calculation'!I4</f>
        <v>0.92</v>
      </c>
      <c r="I16" s="434">
        <f>'Phase calculation'!J4</f>
        <v>0.92</v>
      </c>
      <c r="J16" s="434">
        <f>'Phase calculation'!K4</f>
        <v>0.92</v>
      </c>
      <c r="K16" s="435">
        <f>'Phase calculation'!L4</f>
        <v>0.92</v>
      </c>
      <c r="L16" s="434">
        <f>'Phase calculation'!M4</f>
        <v>0.92</v>
      </c>
      <c r="M16" s="434">
        <f>'Phase calculation'!N4</f>
        <v>0.92</v>
      </c>
    </row>
    <row r="17" spans="1:13">
      <c r="A17" s="436" t="s">
        <v>504</v>
      </c>
      <c r="B17" s="437">
        <f>'Phase calculation'!C5</f>
        <v>30</v>
      </c>
      <c r="C17" s="437">
        <f>'Phase calculation'!D5</f>
        <v>0</v>
      </c>
      <c r="D17" s="437">
        <f>'Phase calculation'!E5</f>
        <v>105</v>
      </c>
      <c r="E17" s="470">
        <f>'Phase calculation'!F5</f>
        <v>873</v>
      </c>
      <c r="F17" s="469">
        <f>'Phase calculation'!G5</f>
        <v>1</v>
      </c>
      <c r="G17" s="469">
        <f>'Phase calculation'!H5</f>
        <v>609</v>
      </c>
      <c r="H17" s="470">
        <f>'Phase calculation'!I5</f>
        <v>16</v>
      </c>
      <c r="I17" s="469">
        <f>'Phase calculation'!J5</f>
        <v>802</v>
      </c>
      <c r="J17" s="469">
        <f>'Phase calculation'!K5</f>
        <v>153</v>
      </c>
      <c r="K17" s="470">
        <f>'Phase calculation'!L5</f>
        <v>135</v>
      </c>
      <c r="L17" s="469">
        <f>'Phase calculation'!M5</f>
        <v>1546</v>
      </c>
      <c r="M17" s="469">
        <f>'Phase calculation'!N5</f>
        <v>25</v>
      </c>
    </row>
    <row r="18" spans="1:13">
      <c r="A18" s="446" t="s">
        <v>505</v>
      </c>
      <c r="B18" s="434">
        <v>0</v>
      </c>
      <c r="C18" s="434">
        <v>0</v>
      </c>
      <c r="D18" s="434">
        <f>ROUND(0.01*'Input sheet'!G17*D17,0)</f>
        <v>53</v>
      </c>
      <c r="E18" s="435">
        <v>0</v>
      </c>
      <c r="F18" s="434">
        <v>0</v>
      </c>
      <c r="G18" s="434">
        <f>ROUND(0.01*'Input sheet'!N11*G17,0)</f>
        <v>305</v>
      </c>
      <c r="H18" s="435">
        <v>0</v>
      </c>
      <c r="I18" s="434">
        <v>0</v>
      </c>
      <c r="J18" s="434">
        <f>ROUND(0.01*'Input sheet'!L22*J17,0)</f>
        <v>77</v>
      </c>
      <c r="K18" s="435">
        <v>0</v>
      </c>
      <c r="L18" s="434">
        <v>0</v>
      </c>
      <c r="M18" s="434">
        <f>ROUND(0.01*'Input sheet'!H7*M17,0)</f>
        <v>13</v>
      </c>
    </row>
    <row r="19" spans="1:13">
      <c r="A19" s="447" t="s">
        <v>506</v>
      </c>
      <c r="B19" s="448">
        <f>B17-B18</f>
        <v>30</v>
      </c>
      <c r="C19" s="448">
        <f t="shared" ref="C19:M19" si="1">C17-C18</f>
        <v>0</v>
      </c>
      <c r="D19" s="448">
        <f t="shared" si="1"/>
        <v>52</v>
      </c>
      <c r="E19" s="449">
        <f t="shared" si="1"/>
        <v>873</v>
      </c>
      <c r="F19" s="448">
        <f t="shared" si="1"/>
        <v>1</v>
      </c>
      <c r="G19" s="448">
        <f t="shared" si="1"/>
        <v>304</v>
      </c>
      <c r="H19" s="449">
        <f t="shared" si="1"/>
        <v>16</v>
      </c>
      <c r="I19" s="448">
        <f t="shared" si="1"/>
        <v>802</v>
      </c>
      <c r="J19" s="448">
        <f t="shared" si="1"/>
        <v>76</v>
      </c>
      <c r="K19" s="449">
        <f t="shared" si="1"/>
        <v>135</v>
      </c>
      <c r="L19" s="448">
        <f t="shared" si="1"/>
        <v>1546</v>
      </c>
      <c r="M19" s="448">
        <f t="shared" si="1"/>
        <v>12</v>
      </c>
    </row>
    <row r="20" spans="1:13">
      <c r="A20" s="446" t="s">
        <v>507</v>
      </c>
      <c r="B20" s="434" t="str">
        <f>'Phase designation'!B23</f>
        <v>Prot+perm</v>
      </c>
      <c r="C20" s="434"/>
      <c r="D20" s="434" t="s">
        <v>86</v>
      </c>
      <c r="E20" s="435" t="str">
        <f>'Phase designation'!D23</f>
        <v>Prot+perm</v>
      </c>
      <c r="F20" s="434"/>
      <c r="G20" s="434" t="s">
        <v>86</v>
      </c>
      <c r="H20" s="435" t="str">
        <f>'Phase designation'!F23</f>
        <v>Permitted</v>
      </c>
      <c r="I20" s="434"/>
      <c r="J20" s="434" t="s">
        <v>86</v>
      </c>
      <c r="K20" s="435" t="str">
        <f>'Phase designation'!H23</f>
        <v>Permitted</v>
      </c>
      <c r="L20" s="434"/>
      <c r="M20" s="434" t="s">
        <v>86</v>
      </c>
    </row>
    <row r="21" spans="1:13">
      <c r="A21" s="436" t="s">
        <v>508</v>
      </c>
      <c r="B21" s="437">
        <f>IF('Phase designation'!B27=0,"",'Phase designation'!B27)</f>
        <v>7</v>
      </c>
      <c r="C21" s="437">
        <f>'Phase designation'!C27</f>
        <v>4</v>
      </c>
      <c r="D21" s="437"/>
      <c r="E21" s="470">
        <f>IF('Phase designation'!D27=0,"",'Phase designation'!D27)</f>
        <v>3</v>
      </c>
      <c r="F21" s="469">
        <f>'Phase designation'!E27</f>
        <v>8</v>
      </c>
      <c r="G21" s="469"/>
      <c r="H21" s="470" t="str">
        <f>IF('Phase designation'!F27=0,"",'Phase designation'!F27)</f>
        <v/>
      </c>
      <c r="I21" s="469">
        <f>'Phase designation'!G27</f>
        <v>2</v>
      </c>
      <c r="J21" s="469"/>
      <c r="K21" s="470" t="str">
        <f>IF('Phase designation'!H27=0,"",'Phase designation'!H27)</f>
        <v/>
      </c>
      <c r="L21" s="469">
        <f>'Phase designation'!I27</f>
        <v>6</v>
      </c>
      <c r="M21" s="469"/>
    </row>
    <row r="22" spans="1:13">
      <c r="A22" s="446" t="s">
        <v>509</v>
      </c>
      <c r="B22" s="434">
        <f>IF('Phase designation'!B28=0,"",'Phase designation'!B28)</f>
        <v>4</v>
      </c>
      <c r="C22" s="434"/>
      <c r="D22" s="434">
        <f>C21</f>
        <v>4</v>
      </c>
      <c r="E22" s="435">
        <f>IF('Phase designation'!D28=0,"",'Phase designation'!D28)</f>
        <v>8</v>
      </c>
      <c r="F22" s="434"/>
      <c r="G22" s="434">
        <f>F21</f>
        <v>8</v>
      </c>
      <c r="H22" s="435">
        <f>IF('Phase designation'!F28=0,"",'Phase designation'!F28)</f>
        <v>2</v>
      </c>
      <c r="I22" s="434"/>
      <c r="J22" s="434">
        <f>I21</f>
        <v>2</v>
      </c>
      <c r="K22" s="435">
        <f>IF('Phase designation'!H28=0,"",'Phase designation'!H28)</f>
        <v>6</v>
      </c>
      <c r="L22" s="434"/>
      <c r="M22" s="434">
        <f>L21</f>
        <v>6</v>
      </c>
    </row>
    <row r="23" spans="1:13">
      <c r="A23" s="436" t="s">
        <v>511</v>
      </c>
      <c r="B23" s="450">
        <f>'Phase calculation'!C37</f>
        <v>23.5</v>
      </c>
      <c r="C23" s="450">
        <f>'Phase calculation'!D37</f>
        <v>25.5</v>
      </c>
      <c r="D23" s="450">
        <f>'Phase calculation'!E37</f>
        <v>25.5</v>
      </c>
      <c r="E23" s="451">
        <f>'Phase calculation'!F37</f>
        <v>50.899999999999991</v>
      </c>
      <c r="F23" s="450">
        <f>'Phase calculation'!G37</f>
        <v>39.299999999999997</v>
      </c>
      <c r="G23" s="450">
        <f>'Phase calculation'!H37</f>
        <v>39.299999999999997</v>
      </c>
      <c r="H23" s="451">
        <f>'Phase calculation'!I37</f>
        <v>90.199999999999989</v>
      </c>
      <c r="I23" s="450">
        <f>'Phase calculation'!J37</f>
        <v>90.199999999999989</v>
      </c>
      <c r="J23" s="450">
        <f>'Phase calculation'!K37</f>
        <v>90.199999999999989</v>
      </c>
      <c r="K23" s="451">
        <f>'Phase calculation'!L37</f>
        <v>90.199999999999989</v>
      </c>
      <c r="L23" s="450">
        <f>'Phase calculation'!M37</f>
        <v>90.199999999999989</v>
      </c>
      <c r="M23" s="450">
        <f>'Phase calculation'!N37</f>
        <v>90.199999999999989</v>
      </c>
    </row>
    <row r="24" spans="1:13">
      <c r="A24" s="446" t="s">
        <v>510</v>
      </c>
      <c r="B24" s="438">
        <f>'Phase calculation'!C38</f>
        <v>25</v>
      </c>
      <c r="C24" s="438">
        <f>'Phase calculation'!D38</f>
        <v>27</v>
      </c>
      <c r="D24" s="438">
        <f>'Phase calculation'!E38</f>
        <v>27</v>
      </c>
      <c r="E24" s="467">
        <f>'Phase calculation'!F38</f>
        <v>52.599999999999994</v>
      </c>
      <c r="F24" s="468">
        <f>'Phase calculation'!G38</f>
        <v>41</v>
      </c>
      <c r="G24" s="468">
        <f>'Phase calculation'!H38</f>
        <v>41</v>
      </c>
      <c r="H24" s="467">
        <f>'Phase calculation'!I38</f>
        <v>92</v>
      </c>
      <c r="I24" s="468">
        <f>'Phase calculation'!J38</f>
        <v>92</v>
      </c>
      <c r="J24" s="468">
        <f>'Phase calculation'!K38</f>
        <v>92</v>
      </c>
      <c r="K24" s="467">
        <f>'Phase calculation'!L38</f>
        <v>92</v>
      </c>
      <c r="L24" s="468">
        <f>'Phase calculation'!M38</f>
        <v>92</v>
      </c>
      <c r="M24" s="468">
        <f>'Phase calculation'!N38</f>
        <v>92</v>
      </c>
    </row>
    <row r="25" spans="1:13">
      <c r="A25" s="436" t="s">
        <v>513</v>
      </c>
      <c r="B25" s="439">
        <f>B23/'Phase calculation'!$C$25</f>
        <v>0.15666666666666668</v>
      </c>
      <c r="C25" s="439">
        <f>C23/'Phase calculation'!$C$25</f>
        <v>0.17</v>
      </c>
      <c r="D25" s="439">
        <f>D23/'Phase calculation'!$C$25</f>
        <v>0.17</v>
      </c>
      <c r="E25" s="440">
        <f>E23/'Phase calculation'!$C$25</f>
        <v>0.33933333333333326</v>
      </c>
      <c r="F25" s="439">
        <f>F23/'Phase calculation'!$C$25</f>
        <v>0.26199999999999996</v>
      </c>
      <c r="G25" s="439">
        <f>G23/'Phase calculation'!$C$25</f>
        <v>0.26199999999999996</v>
      </c>
      <c r="H25" s="440">
        <f>H23/'Phase calculation'!$C$25</f>
        <v>0.60133333333333328</v>
      </c>
      <c r="I25" s="439">
        <f>I23/'Phase calculation'!$C$25</f>
        <v>0.60133333333333328</v>
      </c>
      <c r="J25" s="439">
        <f>J23/'Phase calculation'!$C$25</f>
        <v>0.60133333333333328</v>
      </c>
      <c r="K25" s="440">
        <f>K23/'Phase calculation'!$C$25</f>
        <v>0.60133333333333328</v>
      </c>
      <c r="L25" s="439">
        <f>L23/'Phase calculation'!$C$25</f>
        <v>0.60133333333333328</v>
      </c>
      <c r="M25" s="439">
        <f>M23/'Phase calculation'!$C$25</f>
        <v>0.60133333333333328</v>
      </c>
    </row>
    <row r="26" spans="1:13">
      <c r="A26" s="452" t="s">
        <v>512</v>
      </c>
      <c r="B26" s="453">
        <f>'Phase calculation'!C35+'Phase calculation'!C36</f>
        <v>5.5</v>
      </c>
      <c r="C26" s="453">
        <f>'Phase calculation'!D35+'Phase calculation'!D36</f>
        <v>5.5</v>
      </c>
      <c r="D26" s="453">
        <f>'Phase calculation'!E35+'Phase calculation'!E36</f>
        <v>5.5</v>
      </c>
      <c r="E26" s="454">
        <f>'Phase calculation'!F35+'Phase calculation'!F36</f>
        <v>5.7</v>
      </c>
      <c r="F26" s="453">
        <f>'Phase calculation'!G35+'Phase calculation'!G36</f>
        <v>5.7</v>
      </c>
      <c r="G26" s="453">
        <f>'Phase calculation'!H35+'Phase calculation'!H36</f>
        <v>5.7</v>
      </c>
      <c r="H26" s="454">
        <f>'Phase calculation'!I35+'Phase calculation'!I36</f>
        <v>5.8</v>
      </c>
      <c r="I26" s="453">
        <f>'Phase calculation'!J35+'Phase calculation'!J36</f>
        <v>5.8</v>
      </c>
      <c r="J26" s="453">
        <f>'Phase calculation'!K35+'Phase calculation'!K36</f>
        <v>5.8</v>
      </c>
      <c r="K26" s="454">
        <f>'Phase calculation'!L35+'Phase calculation'!L36</f>
        <v>5.8</v>
      </c>
      <c r="L26" s="453">
        <f>'Phase calculation'!M35+'Phase calculation'!M36</f>
        <v>5.8</v>
      </c>
      <c r="M26" s="453">
        <f>'Phase calculation'!N35+'Phase calculation'!N36</f>
        <v>5.8</v>
      </c>
    </row>
    <row r="27" spans="1:13">
      <c r="A27" s="436" t="s">
        <v>514</v>
      </c>
      <c r="B27" s="437">
        <f>'Phase calculation'!C44</f>
        <v>109</v>
      </c>
      <c r="C27" s="437">
        <f>'Phase calculation'!D44</f>
        <v>507</v>
      </c>
      <c r="D27" s="437">
        <f>'Phase calculation'!E44</f>
        <v>253</v>
      </c>
      <c r="E27" s="470">
        <f>'Phase calculation'!F44</f>
        <v>247</v>
      </c>
      <c r="F27" s="469">
        <f>'Phase calculation'!G44</f>
        <v>1154</v>
      </c>
      <c r="G27" s="469">
        <f>'Phase calculation'!H44</f>
        <v>385</v>
      </c>
      <c r="H27" s="470">
        <f>'Phase calculation'!I44</f>
        <v>54</v>
      </c>
      <c r="I27" s="469">
        <f>'Phase calculation'!J44</f>
        <v>2590</v>
      </c>
      <c r="J27" s="469">
        <f>'Phase calculation'!K44</f>
        <v>864</v>
      </c>
      <c r="K27" s="470">
        <f>'Phase calculation'!L44</f>
        <v>58</v>
      </c>
      <c r="L27" s="469">
        <f>'Phase calculation'!M44</f>
        <v>2590</v>
      </c>
      <c r="M27" s="469">
        <f>'Phase calculation'!N44</f>
        <v>864</v>
      </c>
    </row>
    <row r="28" spans="1:13">
      <c r="A28" s="446" t="s">
        <v>515</v>
      </c>
      <c r="B28" s="441">
        <f>IF(B12=0,0,B17/B12)</f>
        <v>2.130681818181818E-2</v>
      </c>
      <c r="C28" s="441">
        <f>IF(C12=0,0,C17/C12)</f>
        <v>0</v>
      </c>
      <c r="D28" s="441"/>
      <c r="E28" s="442">
        <f>IF(E12=0,0,E17/E12)</f>
        <v>0.62002840909090906</v>
      </c>
      <c r="F28" s="441">
        <f>IF(F12=0,0,F17/F12)</f>
        <v>2.3679848448969926E-4</v>
      </c>
      <c r="G28" s="441"/>
      <c r="H28" s="442">
        <f>IF(H12=0,0,H17/H12)</f>
        <v>0</v>
      </c>
      <c r="I28" s="441">
        <f>IF(I12=0,0,I17/I12)</f>
        <v>0.18991238456073881</v>
      </c>
      <c r="J28" s="441"/>
      <c r="K28" s="442">
        <f>IF(K12=0,0,K17/K12)</f>
        <v>0</v>
      </c>
      <c r="L28" s="441">
        <f>IF(L12=0,0,L17/L12)</f>
        <v>0.36609045702107507</v>
      </c>
      <c r="M28" s="441"/>
    </row>
    <row r="29" spans="1:13">
      <c r="A29" s="436" t="s">
        <v>516</v>
      </c>
      <c r="B29" s="439">
        <f>IF(B14=0,"",B19/B14)</f>
        <v>3.5502958579881658E-2</v>
      </c>
      <c r="C29" s="439"/>
      <c r="D29" s="439">
        <f>IF(D14=0,"",D19/D14)</f>
        <v>3.6931818181818184E-2</v>
      </c>
      <c r="E29" s="440">
        <f>IF(E14=0,"",E19/E14)</f>
        <v>0.67517401392111365</v>
      </c>
      <c r="F29" s="439"/>
      <c r="G29" s="439">
        <f>IF(G14=0,"",G19/G14)</f>
        <v>0.21590909090909091</v>
      </c>
      <c r="H29" s="440">
        <f>IF(H14=0,"",H19/H14)</f>
        <v>4.3596730245231606E-2</v>
      </c>
      <c r="I29" s="439"/>
      <c r="J29" s="439">
        <f>IF(J14=0,"",J19/J14)</f>
        <v>5.3977272727272728E-2</v>
      </c>
      <c r="K29" s="440">
        <f>IF(K14=0,"",K19/K14)</f>
        <v>0.21462639109697934</v>
      </c>
      <c r="L29" s="439"/>
      <c r="M29" s="439">
        <f>IF(M14=0,"",M19/M14)</f>
        <v>8.5227272727272721E-3</v>
      </c>
    </row>
    <row r="30" spans="1:13">
      <c r="A30" s="446" t="s">
        <v>517</v>
      </c>
      <c r="B30" s="441">
        <f>'Phase calculation'!C43</f>
        <v>0.28000000000000003</v>
      </c>
      <c r="C30" s="441">
        <f>'Phase calculation'!D43</f>
        <v>0</v>
      </c>
      <c r="D30" s="441">
        <f>'Phase calculation'!E43</f>
        <v>0.20553359683794467</v>
      </c>
      <c r="E30" s="442">
        <f>'Phase calculation'!F43</f>
        <v>3.53</v>
      </c>
      <c r="F30" s="441">
        <f>'Phase calculation'!G43</f>
        <v>0</v>
      </c>
      <c r="G30" s="441">
        <f>'Phase calculation'!H43</f>
        <v>0.78961038961038965</v>
      </c>
      <c r="H30" s="442">
        <f>'Phase calculation'!I43</f>
        <v>0.3</v>
      </c>
      <c r="I30" s="441">
        <f>'Phase calculation'!J43</f>
        <v>0.31</v>
      </c>
      <c r="J30" s="441">
        <f>'Phase calculation'!K43</f>
        <v>8.7962962962962965E-2</v>
      </c>
      <c r="K30" s="442">
        <f>'Phase calculation'!L43</f>
        <v>2.33</v>
      </c>
      <c r="L30" s="441">
        <f>'Phase calculation'!M43</f>
        <v>0.6</v>
      </c>
      <c r="M30" s="441">
        <f>'Phase calculation'!N43</f>
        <v>1.3888888888888888E-2</v>
      </c>
    </row>
    <row r="31" spans="1:13">
      <c r="A31" s="436" t="s">
        <v>518</v>
      </c>
      <c r="B31" s="450">
        <f>'Phase calculation'!C45</f>
        <v>54.63</v>
      </c>
      <c r="C31" s="450">
        <f>'Phase calculation'!D45</f>
        <v>0</v>
      </c>
      <c r="D31" s="450">
        <f>'Phase calculation'!E45</f>
        <v>52.37</v>
      </c>
      <c r="E31" s="451">
        <f>'Phase calculation'!F45</f>
        <v>48.7</v>
      </c>
      <c r="F31" s="450">
        <f>'Phase calculation'!G45</f>
        <v>0</v>
      </c>
      <c r="G31" s="450">
        <f>'Phase calculation'!H45</f>
        <v>50.5</v>
      </c>
      <c r="H31" s="451">
        <f>'Phase calculation'!I45</f>
        <v>13.74</v>
      </c>
      <c r="I31" s="450">
        <f>'Phase calculation'!J45</f>
        <v>13.85</v>
      </c>
      <c r="J31" s="450">
        <f>'Phase calculation'!K45</f>
        <v>11.85</v>
      </c>
      <c r="K31" s="451">
        <f>'Phase calculation'!L45</f>
        <v>29</v>
      </c>
      <c r="L31" s="450">
        <f>'Phase calculation'!M45</f>
        <v>17.739999999999998</v>
      </c>
      <c r="M31" s="450">
        <f>'Phase calculation'!N45</f>
        <v>11.31</v>
      </c>
    </row>
    <row r="32" spans="1:13">
      <c r="A32" s="446" t="s">
        <v>519</v>
      </c>
      <c r="B32" s="441">
        <v>1</v>
      </c>
      <c r="C32" s="441">
        <v>1</v>
      </c>
      <c r="D32" s="441">
        <v>1</v>
      </c>
      <c r="E32" s="442">
        <v>1</v>
      </c>
      <c r="F32" s="441">
        <v>1</v>
      </c>
      <c r="G32" s="441">
        <v>1</v>
      </c>
      <c r="H32" s="442">
        <v>1</v>
      </c>
      <c r="I32" s="441">
        <v>1</v>
      </c>
      <c r="J32" s="441">
        <v>1</v>
      </c>
      <c r="K32" s="442">
        <v>1</v>
      </c>
      <c r="L32" s="441">
        <v>1</v>
      </c>
      <c r="M32" s="441">
        <v>1</v>
      </c>
    </row>
    <row r="33" spans="1:13">
      <c r="A33" s="436" t="s">
        <v>520</v>
      </c>
      <c r="B33" s="450">
        <f>'Phase calculation'!C46</f>
        <v>6.3</v>
      </c>
      <c r="C33" s="450">
        <f>'Phase calculation'!D46</f>
        <v>0</v>
      </c>
      <c r="D33" s="450">
        <f>'Phase calculation'!E46</f>
        <v>1.83</v>
      </c>
      <c r="E33" s="451">
        <f>'Phase calculation'!F46</f>
        <v>1148.58</v>
      </c>
      <c r="F33" s="450">
        <f>'Phase calculation'!G46</f>
        <v>0</v>
      </c>
      <c r="G33" s="450">
        <f>'Phase calculation'!H46</f>
        <v>15.13</v>
      </c>
      <c r="H33" s="451">
        <f>'Phase calculation'!I46</f>
        <v>13.69</v>
      </c>
      <c r="I33" s="450">
        <f>'Phase calculation'!J46</f>
        <v>0.31</v>
      </c>
      <c r="J33" s="450">
        <f>'Phase calculation'!K46</f>
        <v>0.2</v>
      </c>
      <c r="K33" s="451">
        <f>'Phase calculation'!L46</f>
        <v>648.66</v>
      </c>
      <c r="L33" s="450">
        <f>'Phase calculation'!M46</f>
        <v>1.04</v>
      </c>
      <c r="M33" s="450">
        <f>'Phase calculation'!N46</f>
        <v>0.03</v>
      </c>
    </row>
    <row r="34" spans="1:13">
      <c r="A34" s="446" t="s">
        <v>329</v>
      </c>
      <c r="B34" s="438">
        <f>'Phase calculation'!C47</f>
        <v>60.93</v>
      </c>
      <c r="C34" s="438">
        <f>'Phase calculation'!D47</f>
        <v>0</v>
      </c>
      <c r="D34" s="438">
        <f>'Phase calculation'!E47</f>
        <v>54.199999999999996</v>
      </c>
      <c r="E34" s="467">
        <f>'Phase calculation'!F47</f>
        <v>1197.28</v>
      </c>
      <c r="F34" s="468">
        <f>'Phase calculation'!G47</f>
        <v>0</v>
      </c>
      <c r="G34" s="468">
        <f>'Phase calculation'!H47</f>
        <v>65.63</v>
      </c>
      <c r="H34" s="467">
        <f>'Phase calculation'!I47</f>
        <v>27.43</v>
      </c>
      <c r="I34" s="468">
        <f>'Phase calculation'!J47</f>
        <v>14.16</v>
      </c>
      <c r="J34" s="468">
        <f>'Phase calculation'!K47</f>
        <v>12.049999999999999</v>
      </c>
      <c r="K34" s="467">
        <f>'Phase calculation'!L47</f>
        <v>677.66</v>
      </c>
      <c r="L34" s="468">
        <f>'Phase calculation'!M47</f>
        <v>18.779999999999998</v>
      </c>
      <c r="M34" s="468">
        <f>'Phase calculation'!N47</f>
        <v>11.34</v>
      </c>
    </row>
    <row r="35" spans="1:13">
      <c r="A35" s="436" t="s">
        <v>521</v>
      </c>
      <c r="B35" s="450" t="str">
        <f>'Phase calculation'!C48</f>
        <v>E</v>
      </c>
      <c r="C35" s="450" t="str">
        <f>'Phase calculation'!D48</f>
        <v>N/A</v>
      </c>
      <c r="D35" s="450" t="str">
        <f>'Phase calculation'!E48</f>
        <v>D</v>
      </c>
      <c r="E35" s="451" t="str">
        <f>'Phase calculation'!F48</f>
        <v>F</v>
      </c>
      <c r="F35" s="450" t="str">
        <f>'Phase calculation'!G48</f>
        <v>N/A</v>
      </c>
      <c r="G35" s="450" t="str">
        <f>'Phase calculation'!H48</f>
        <v>E</v>
      </c>
      <c r="H35" s="451" t="str">
        <f>'Phase calculation'!I48</f>
        <v>C</v>
      </c>
      <c r="I35" s="450" t="str">
        <f>'Phase calculation'!J48</f>
        <v>B</v>
      </c>
      <c r="J35" s="450" t="str">
        <f>'Phase calculation'!K48</f>
        <v>B</v>
      </c>
      <c r="K35" s="451" t="str">
        <f>'Phase calculation'!L48</f>
        <v>F</v>
      </c>
      <c r="L35" s="450" t="str">
        <f>'Phase calculation'!M48</f>
        <v>B</v>
      </c>
      <c r="M35" s="450" t="str">
        <f>'Phase calculation'!N48</f>
        <v>B</v>
      </c>
    </row>
    <row r="36" spans="1:13">
      <c r="A36" s="446" t="s">
        <v>434</v>
      </c>
      <c r="B36" s="551">
        <f>'Phase calculation'!C49</f>
        <v>55.707519999999995</v>
      </c>
      <c r="C36" s="551"/>
      <c r="D36" s="551"/>
      <c r="E36" s="550">
        <f>'Phase calculation'!F49</f>
        <v>731.79519061583574</v>
      </c>
      <c r="F36" s="551"/>
      <c r="G36" s="551"/>
      <c r="H36" s="550">
        <f>'Phase calculation'!I49</f>
        <v>14.04986577181208</v>
      </c>
      <c r="I36" s="551"/>
      <c r="J36" s="551"/>
      <c r="K36" s="550">
        <f>'Phase calculation'!L49</f>
        <v>70.743033779477372</v>
      </c>
      <c r="L36" s="551"/>
      <c r="M36" s="551"/>
    </row>
    <row r="37" spans="1:13">
      <c r="A37" s="436" t="s">
        <v>435</v>
      </c>
      <c r="B37" s="552" t="str">
        <f>'Phase calculation'!C50</f>
        <v>E</v>
      </c>
      <c r="C37" s="552"/>
      <c r="D37" s="552"/>
      <c r="E37" s="553" t="str">
        <f>'Phase calculation'!F50</f>
        <v>F</v>
      </c>
      <c r="F37" s="552"/>
      <c r="G37" s="552"/>
      <c r="H37" s="553" t="str">
        <f>'Phase calculation'!I50</f>
        <v>B</v>
      </c>
      <c r="I37" s="552"/>
      <c r="J37" s="552"/>
      <c r="K37" s="553" t="str">
        <f>'Phase calculation'!L50</f>
        <v>E</v>
      </c>
      <c r="L37" s="552"/>
      <c r="M37" s="552"/>
    </row>
    <row r="38" spans="1:13" ht="8.25" customHeight="1"/>
    <row r="39" spans="1:13">
      <c r="A39" s="549" t="s">
        <v>522</v>
      </c>
      <c r="B39" s="549"/>
      <c r="C39" s="549"/>
      <c r="D39" s="455"/>
      <c r="E39" s="455"/>
      <c r="F39" s="455"/>
      <c r="G39" s="455"/>
      <c r="H39" s="455"/>
      <c r="I39" s="455"/>
      <c r="J39" s="455"/>
      <c r="K39" s="455"/>
      <c r="L39" s="455"/>
      <c r="M39" s="455"/>
    </row>
    <row r="40" spans="1:13">
      <c r="A40" s="554" t="s">
        <v>523</v>
      </c>
      <c r="B40" s="554"/>
      <c r="C40" s="456">
        <f>'Phase calculation'!C55:D55</f>
        <v>312.76</v>
      </c>
      <c r="D40" s="457"/>
      <c r="E40" s="554" t="s">
        <v>527</v>
      </c>
      <c r="F40" s="554"/>
      <c r="G40" s="457" t="str">
        <f>'Phase calculation'!C56</f>
        <v>F</v>
      </c>
      <c r="H40" s="458"/>
      <c r="I40" s="458"/>
      <c r="J40" s="457"/>
      <c r="K40" s="457"/>
      <c r="L40" s="457"/>
      <c r="M40" s="457"/>
    </row>
    <row r="41" spans="1:13">
      <c r="A41" s="555" t="s">
        <v>524</v>
      </c>
      <c r="B41" s="555"/>
      <c r="C41" s="459">
        <f>'Phase calculation'!C57:D57</f>
        <v>0.92</v>
      </c>
      <c r="E41" s="460"/>
      <c r="F41" s="460"/>
    </row>
    <row r="42" spans="1:13">
      <c r="A42" s="556" t="s">
        <v>525</v>
      </c>
      <c r="B42" s="556"/>
      <c r="C42" s="461">
        <f>'Phase calculation'!C25</f>
        <v>150</v>
      </c>
      <c r="D42" s="457"/>
      <c r="E42" s="560" t="s">
        <v>528</v>
      </c>
      <c r="F42" s="560"/>
      <c r="G42" s="462">
        <f>'Phase calculation'!C23</f>
        <v>12</v>
      </c>
      <c r="H42" s="463"/>
      <c r="I42" s="463"/>
      <c r="J42" s="457"/>
      <c r="K42" s="457"/>
      <c r="L42" s="457"/>
      <c r="M42" s="457"/>
    </row>
    <row r="43" spans="1:13">
      <c r="A43" s="555" t="s">
        <v>526</v>
      </c>
      <c r="B43" s="555"/>
      <c r="C43" s="464">
        <f>'Phase calculation'!G55</f>
        <v>1.066118866111984</v>
      </c>
      <c r="E43" s="548" t="s">
        <v>529</v>
      </c>
      <c r="F43" s="548"/>
      <c r="G43" s="426" t="str">
        <f>'Phase calculation'!G56</f>
        <v>G</v>
      </c>
      <c r="H43" s="465"/>
      <c r="I43" s="465"/>
    </row>
    <row r="46" spans="1:13" ht="18" thickBot="1">
      <c r="A46" s="428"/>
      <c r="B46" s="429"/>
      <c r="C46" s="429"/>
      <c r="D46" s="429"/>
      <c r="E46" s="429"/>
      <c r="F46" s="429"/>
      <c r="G46" s="429"/>
      <c r="H46" s="429"/>
      <c r="I46" s="429"/>
      <c r="J46" s="429"/>
      <c r="K46" s="429"/>
      <c r="L46" s="429"/>
      <c r="M46" s="429"/>
    </row>
    <row r="47" spans="1:13">
      <c r="M47" s="434"/>
    </row>
    <row r="48" spans="1:13">
      <c r="L48" s="547" t="s">
        <v>531</v>
      </c>
      <c r="M48" s="547"/>
    </row>
  </sheetData>
  <mergeCells count="23">
    <mergeCell ref="A43:B43"/>
    <mergeCell ref="L2:M2"/>
    <mergeCell ref="B3:D3"/>
    <mergeCell ref="E3:G3"/>
    <mergeCell ref="H3:J3"/>
    <mergeCell ref="K3:M3"/>
    <mergeCell ref="E42:F42"/>
    <mergeCell ref="L48:M48"/>
    <mergeCell ref="A1:D1"/>
    <mergeCell ref="A39:C39"/>
    <mergeCell ref="E43:F43"/>
    <mergeCell ref="K36:M36"/>
    <mergeCell ref="B37:D37"/>
    <mergeCell ref="E37:G37"/>
    <mergeCell ref="H37:J37"/>
    <mergeCell ref="K37:M37"/>
    <mergeCell ref="A40:B40"/>
    <mergeCell ref="E40:F40"/>
    <mergeCell ref="B36:D36"/>
    <mergeCell ref="E36:G36"/>
    <mergeCell ref="H36:J36"/>
    <mergeCell ref="A41:B41"/>
    <mergeCell ref="A42:B42"/>
  </mergeCells>
  <pageMargins left="0.7" right="0.7" top="0.75" bottom="0.75" header="0.3" footer="0.3"/>
  <pageSetup scale="5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Sheet1</vt:lpstr>
      <vt:lpstr>Input sheet</vt:lpstr>
      <vt:lpstr>Phase designation</vt:lpstr>
      <vt:lpstr>Lane volumes</vt:lpstr>
      <vt:lpstr>Phase calculation</vt:lpstr>
      <vt:lpstr>Max greens</vt:lpstr>
      <vt:lpstr>LOS table</vt:lpstr>
      <vt:lpstr>Phasing_calc</vt:lpstr>
      <vt:lpstr>Summary sheet</vt:lpstr>
      <vt:lpstr>Y-AllRed</vt:lpstr>
      <vt:lpstr>DetZone</vt:lpstr>
      <vt:lpstr>LAYOUT</vt:lpstr>
      <vt:lpstr>LANES</vt:lpstr>
      <vt:lpstr>VOLUME</vt:lpstr>
      <vt:lpstr>PHASING</vt:lpstr>
      <vt:lpstr>TIMING</vt:lpstr>
      <vt:lpstr>Report</vt:lpstr>
      <vt:lpstr>Report!Print_Area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Z</cp:lastModifiedBy>
  <cp:lastPrinted>2013-04-19T20:17:05Z</cp:lastPrinted>
  <dcterms:created xsi:type="dcterms:W3CDTF">2012-08-31T17:18:51Z</dcterms:created>
  <dcterms:modified xsi:type="dcterms:W3CDTF">2013-10-24T21:45:05Z</dcterms:modified>
</cp:coreProperties>
</file>