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700" windowHeight="9780" activeTab="3"/>
  </bookViews>
  <sheets>
    <sheet name="4022" sheetId="27" r:id="rId1"/>
    <sheet name="4031" sheetId="26" r:id="rId2"/>
    <sheet name="4032" sheetId="25" r:id="rId3"/>
    <sheet name="ControlSheet" sheetId="24" r:id="rId4"/>
    <sheet name="Sheets" sheetId="4" r:id="rId5"/>
    <sheet name="Template" sheetId="5" r:id="rId6"/>
    <sheet name="AMS" sheetId="6" r:id="rId7"/>
  </sheets>
  <definedNames>
    <definedName name="QEM">ControlSheet!$D$13</definedName>
  </definedNames>
  <calcPr calcId="125725"/>
</workbook>
</file>

<file path=xl/calcChain.xml><?xml version="1.0" encoding="utf-8"?>
<calcChain xmlns="http://schemas.openxmlformats.org/spreadsheetml/2006/main">
  <c r="I26" i="25"/>
  <c r="B1" s="1"/>
  <c r="J24"/>
  <c r="K22"/>
  <c r="J22"/>
  <c r="I22"/>
  <c r="H22"/>
  <c r="K21"/>
  <c r="J21"/>
  <c r="I21"/>
  <c r="H21"/>
  <c r="N16"/>
  <c r="M16"/>
  <c r="G16"/>
  <c r="F16"/>
  <c r="N14"/>
  <c r="M14"/>
  <c r="G14"/>
  <c r="F14"/>
  <c r="R13"/>
  <c r="P13"/>
  <c r="D13"/>
  <c r="A13"/>
  <c r="N12"/>
  <c r="M12"/>
  <c r="G12"/>
  <c r="F12"/>
  <c r="N11"/>
  <c r="M11"/>
  <c r="K7"/>
  <c r="J7"/>
  <c r="I7"/>
  <c r="K6"/>
  <c r="J6"/>
  <c r="I6"/>
  <c r="J4"/>
  <c r="I2"/>
  <c r="I26" i="26"/>
  <c r="B1" s="1"/>
  <c r="J24"/>
  <c r="K22"/>
  <c r="J22"/>
  <c r="I22"/>
  <c r="H22"/>
  <c r="K21"/>
  <c r="J21"/>
  <c r="I21"/>
  <c r="H21"/>
  <c r="N16"/>
  <c r="M16"/>
  <c r="G16"/>
  <c r="F16"/>
  <c r="N14"/>
  <c r="M14"/>
  <c r="G14"/>
  <c r="F14"/>
  <c r="R13"/>
  <c r="P13"/>
  <c r="D13"/>
  <c r="A13"/>
  <c r="N12"/>
  <c r="M12"/>
  <c r="G12"/>
  <c r="F12"/>
  <c r="N11"/>
  <c r="M11"/>
  <c r="K7"/>
  <c r="J7"/>
  <c r="I7"/>
  <c r="K6"/>
  <c r="J6"/>
  <c r="I6"/>
  <c r="J4"/>
  <c r="I2"/>
  <c r="I26" i="27"/>
  <c r="B1" s="1"/>
  <c r="J24"/>
  <c r="K22"/>
  <c r="J22"/>
  <c r="I22"/>
  <c r="H22"/>
  <c r="K21"/>
  <c r="J21"/>
  <c r="I21"/>
  <c r="H21"/>
  <c r="N16"/>
  <c r="M16"/>
  <c r="G16"/>
  <c r="F16"/>
  <c r="N14"/>
  <c r="M14"/>
  <c r="G14"/>
  <c r="F14"/>
  <c r="R13"/>
  <c r="P13"/>
  <c r="D13"/>
  <c r="A13"/>
  <c r="N12"/>
  <c r="M12"/>
  <c r="G12"/>
  <c r="F12"/>
  <c r="N11"/>
  <c r="M11"/>
  <c r="K7"/>
  <c r="J7"/>
  <c r="I7"/>
  <c r="K6"/>
  <c r="J6"/>
  <c r="I6"/>
  <c r="J4"/>
  <c r="I2"/>
  <c r="B1" i="5"/>
  <c r="R13" l="1"/>
  <c r="A13"/>
  <c r="I2"/>
  <c r="I26"/>
  <c r="A17" i="4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"/>
  <c r="A3"/>
  <c r="A4"/>
  <c r="A5"/>
  <c r="A6"/>
  <c r="A7"/>
  <c r="A8"/>
  <c r="A9"/>
  <c r="A10"/>
  <c r="A11"/>
  <c r="A12"/>
  <c r="A13"/>
  <c r="A14"/>
  <c r="A15"/>
  <c r="A16"/>
  <c r="A1"/>
  <c r="M16" i="5"/>
  <c r="M14"/>
  <c r="M12"/>
  <c r="N12"/>
  <c r="N14"/>
  <c r="N16"/>
  <c r="G16"/>
  <c r="G14"/>
  <c r="G12"/>
  <c r="F16"/>
  <c r="F14"/>
  <c r="F12"/>
  <c r="I7"/>
  <c r="I6"/>
  <c r="J7"/>
  <c r="J6"/>
  <c r="K7"/>
  <c r="K6"/>
  <c r="J21"/>
  <c r="K21"/>
  <c r="I21"/>
  <c r="J22"/>
  <c r="K22"/>
  <c r="I22"/>
  <c r="J4"/>
  <c r="J24"/>
  <c r="P13"/>
  <c r="D13"/>
  <c r="B1" i="4" l="1"/>
  <c r="H22" i="5"/>
  <c r="H21"/>
  <c r="N11"/>
  <c r="M11"/>
</calcChain>
</file>

<file path=xl/sharedStrings.xml><?xml version="1.0" encoding="utf-8"?>
<sst xmlns="http://schemas.openxmlformats.org/spreadsheetml/2006/main" count="252" uniqueCount="48">
  <si>
    <t>Street name:</t>
  </si>
  <si>
    <t>SB speed</t>
  </si>
  <si>
    <t>No lanes</t>
  </si>
  <si>
    <t>Volume</t>
  </si>
  <si>
    <t>EB Speed</t>
  </si>
  <si>
    <t>WB speed</t>
  </si>
  <si>
    <t>NB speed</t>
  </si>
  <si>
    <t>NBL</t>
  </si>
  <si>
    <t>NBT</t>
  </si>
  <si>
    <t>NBR</t>
  </si>
  <si>
    <t>SBL</t>
  </si>
  <si>
    <t>SBT</t>
  </si>
  <si>
    <t>SBR</t>
  </si>
  <si>
    <t>EBL</t>
  </si>
  <si>
    <t>EBT</t>
  </si>
  <si>
    <t>EBR</t>
  </si>
  <si>
    <t>WBL</t>
  </si>
  <si>
    <t>WBT</t>
  </si>
  <si>
    <t>WBR</t>
  </si>
  <si>
    <t>Lanes</t>
  </si>
  <si>
    <t>Speed</t>
  </si>
  <si>
    <t>Name</t>
  </si>
  <si>
    <t>Number</t>
  </si>
  <si>
    <t>QEM</t>
  </si>
  <si>
    <t>Reports</t>
  </si>
  <si>
    <t>#</t>
  </si>
  <si>
    <t>2100 East</t>
  </si>
  <si>
    <t>Foothill</t>
  </si>
  <si>
    <t>Sunnyside</t>
  </si>
  <si>
    <t>Wakara</t>
  </si>
  <si>
    <t>VA Drive</t>
  </si>
  <si>
    <t>Capecchi</t>
  </si>
  <si>
    <t>500 South</t>
  </si>
  <si>
    <t>2100 East &amp; Sunnyside</t>
  </si>
  <si>
    <t>Foothill &amp; Wakara</t>
  </si>
  <si>
    <t>VA Drive &amp; Foothill</t>
  </si>
  <si>
    <t>C:\Speed_test\student_project\Intersection 2100 East &amp; Sunnyside QEM.xlsm</t>
  </si>
  <si>
    <t>QEM 1</t>
  </si>
  <si>
    <t>C:\Speed_test\student_project\Intersection 2100 East &amp; Sunnyside QEM Report.pdf</t>
  </si>
  <si>
    <t>Report 1</t>
  </si>
  <si>
    <t>C:\Speed_test\student_project\Intersection Foothill &amp; Wakara QEM.xlsm</t>
  </si>
  <si>
    <t>QEM 2</t>
  </si>
  <si>
    <t>C:\Speed_test\student_project\Intersection Foothill &amp; Wakara QEM Report.pdf</t>
  </si>
  <si>
    <t>Report 2</t>
  </si>
  <si>
    <t>C:\Speed_test\student_project\Intersection VA Drive &amp; Foothill QEM.xlsm</t>
  </si>
  <si>
    <t>QEM 3</t>
  </si>
  <si>
    <t>C:\Speed_test\student_project\Intersection VA Drive &amp; Foothill QEM Report.pdf</t>
  </si>
  <si>
    <t>Report 3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</si>
</sst>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0"/>
      <color theme="0"/>
      <name val="Times New Roman"/>
      <family val="1"/>
    </font>
    <font>
      <b/>
      <sz val="10"/>
      <color rgb="FFFF0000"/>
      <name val="Times New Roman"/>
      <family val="1"/>
    </font>
    <font>
      <u/>
      <sz val="11"/>
      <color theme="10"/>
      <name val="Calibri"/>
      <family val="2"/>
    </font>
    <font>
      <sz val="11"/>
      <color theme="1"/>
      <name val="Times New Roman"/>
      <family val="1"/>
    </font>
    <font>
      <u/>
      <sz val="11"/>
      <color theme="10"/>
      <name val="Times New Roman"/>
      <family val="1"/>
    </font>
    <font>
      <b/>
      <sz val="11"/>
      <color theme="1"/>
      <name val="Times New Roman"/>
      <family val="1"/>
    </font>
    <font>
      <b/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hadow/>
      <sz val="12"/>
      <color indexed="8"/>
      <name val="TimesNewRoman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36">
    <xf numFmtId="0" fontId="0" fillId="0" borderId="0" xfId="0"/>
    <xf numFmtId="0" fontId="1" fillId="0" borderId="0" xfId="0" applyFont="1" applyBorder="1" applyAlignment="1">
      <alignment vertical="center" wrapText="1"/>
    </xf>
    <xf numFmtId="0" fontId="2" fillId="0" borderId="0" xfId="0" applyFont="1" applyFill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1" fillId="4" borderId="5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wrapText="1"/>
    </xf>
    <xf numFmtId="0" fontId="1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0" fontId="1" fillId="0" borderId="0" xfId="0" applyFont="1" applyFill="1" applyBorder="1" applyAlignment="1"/>
    <xf numFmtId="0" fontId="2" fillId="0" borderId="0" xfId="0" applyFont="1" applyFill="1" applyAlignment="1"/>
    <xf numFmtId="0" fontId="2" fillId="0" borderId="0" xfId="0" applyFont="1" applyFill="1" applyBorder="1" applyAlignment="1"/>
    <xf numFmtId="0" fontId="2" fillId="0" borderId="0" xfId="0" applyFont="1" applyBorder="1" applyAlignment="1">
      <alignment horizontal="center"/>
    </xf>
    <xf numFmtId="0" fontId="2" fillId="0" borderId="0" xfId="0" applyFont="1" applyBorder="1" applyAlignment="1"/>
    <xf numFmtId="0" fontId="2" fillId="0" borderId="0" xfId="0" applyFont="1" applyAlignment="1">
      <alignment horizontal="center"/>
    </xf>
    <xf numFmtId="0" fontId="2" fillId="0" borderId="0" xfId="0" applyFont="1" applyAlignment="1"/>
    <xf numFmtId="0" fontId="6" fillId="0" borderId="0" xfId="0" applyFont="1"/>
    <xf numFmtId="0" fontId="7" fillId="0" borderId="0" xfId="1" applyFont="1" applyBorder="1" applyAlignment="1" applyProtection="1">
      <alignment vertical="center" wrapText="1"/>
    </xf>
    <xf numFmtId="0" fontId="6" fillId="0" borderId="0" xfId="0" applyFont="1" applyAlignment="1">
      <alignment horizontal="center"/>
    </xf>
    <xf numFmtId="0" fontId="2" fillId="2" borderId="1" xfId="0" applyFont="1" applyFill="1" applyBorder="1" applyAlignment="1"/>
    <xf numFmtId="0" fontId="2" fillId="2" borderId="2" xfId="0" applyFont="1" applyFill="1" applyBorder="1" applyAlignment="1"/>
    <xf numFmtId="0" fontId="2" fillId="2" borderId="3" xfId="0" applyFont="1" applyFill="1" applyBorder="1" applyAlignment="1"/>
    <xf numFmtId="0" fontId="8" fillId="0" borderId="0" xfId="0" applyFont="1" applyAlignment="1">
      <alignment horizontal="center"/>
    </xf>
    <xf numFmtId="0" fontId="5" fillId="0" borderId="0" xfId="1" applyAlignment="1" applyProtection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7" fillId="0" borderId="0" xfId="1" applyFont="1" applyAlignment="1" applyProtection="1"/>
  </cellXfs>
  <cellStyles count="2">
    <cellStyle name="Hyperlink" xfId="1" builtinId="8"/>
    <cellStyle name="Normal" xfId="0" builtinId="0"/>
  </cellStyles>
  <dxfs count="1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color auto="1"/>
      </font>
      <fill>
        <patternFill>
          <bgColor rgb="FFFFFF00"/>
        </patternFill>
      </fill>
    </dxf>
    <dxf>
      <font>
        <b val="0"/>
        <i val="0"/>
        <color auto="1"/>
      </font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color auto="1"/>
      </font>
      <fill>
        <patternFill>
          <bgColor rgb="FFFFFF00"/>
        </patternFill>
      </fill>
    </dxf>
    <dxf>
      <font>
        <b val="0"/>
        <i val="0"/>
        <color auto="1"/>
      </font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color auto="1"/>
      </font>
      <fill>
        <patternFill>
          <bgColor rgb="FFFFFF00"/>
        </patternFill>
      </fill>
    </dxf>
    <dxf>
      <font>
        <b val="0"/>
        <i val="0"/>
        <color auto="1"/>
      </font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color auto="1"/>
      </font>
      <fill>
        <patternFill>
          <bgColor rgb="FFFFFF00"/>
        </patternFill>
      </fill>
    </dxf>
    <dxf>
      <font>
        <b val="0"/>
        <i val="0"/>
        <color auto="1"/>
      </font>
      <fill>
        <patternFill>
          <bgColor rgb="FF00B0F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7</xdr:row>
      <xdr:rowOff>95250</xdr:rowOff>
    </xdr:from>
    <xdr:to>
      <xdr:col>11</xdr:col>
      <xdr:colOff>571500</xdr:colOff>
      <xdr:row>18</xdr:row>
      <xdr:rowOff>104775</xdr:rowOff>
    </xdr:to>
    <xdr:grpSp>
      <xdr:nvGrpSpPr>
        <xdr:cNvPr id="2" name="Group 29"/>
        <xdr:cNvGrpSpPr>
          <a:grpSpLocks/>
        </xdr:cNvGrpSpPr>
      </xdr:nvGrpSpPr>
      <xdr:grpSpPr bwMode="auto">
        <a:xfrm>
          <a:off x="4419600" y="1466850"/>
          <a:ext cx="2857500" cy="2124075"/>
          <a:chOff x="739001" y="888609"/>
          <a:chExt cx="2859414" cy="2097673"/>
        </a:xfrm>
      </xdr:grpSpPr>
      <xdr:grpSp>
        <xdr:nvGrpSpPr>
          <xdr:cNvPr id="3" name="Group 18"/>
          <xdr:cNvGrpSpPr>
            <a:grpSpLocks/>
          </xdr:cNvGrpSpPr>
        </xdr:nvGrpSpPr>
        <xdr:grpSpPr bwMode="auto">
          <a:xfrm>
            <a:off x="1364275" y="2511648"/>
            <a:ext cx="881185" cy="469454"/>
            <a:chOff x="743" y="270"/>
            <a:chExt cx="88" cy="43"/>
          </a:xfrm>
        </xdr:grpSpPr>
        <xdr:sp macro="" textlink="">
          <xdr:nvSpPr>
            <xdr:cNvPr id="15" name="AutoShape 4"/>
            <xdr:cNvSpPr>
              <a:spLocks noChangeArrowheads="1"/>
            </xdr:cNvSpPr>
          </xdr:nvSpPr>
          <xdr:spPr bwMode="auto">
            <a:xfrm flipH="1">
              <a:off x="743" y="276"/>
              <a:ext cx="27" cy="37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17694720 60000 65536"/>
                <a:gd name="T9" fmla="*/ 5898240 60000 65536"/>
                <a:gd name="T10" fmla="*/ 5898240 60000 65536"/>
                <a:gd name="T11" fmla="*/ 0 60000 65536"/>
                <a:gd name="T12" fmla="*/ 12800 w 21600"/>
                <a:gd name="T13" fmla="*/ 2919 h 21600"/>
                <a:gd name="T14" fmla="*/ 18400 w 21600"/>
                <a:gd name="T15" fmla="*/ 9341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21600" y="6079"/>
                  </a:moveTo>
                  <a:lnTo>
                    <a:pt x="15126" y="0"/>
                  </a:lnTo>
                  <a:lnTo>
                    <a:pt x="15126" y="2912"/>
                  </a:lnTo>
                  <a:lnTo>
                    <a:pt x="12427" y="2912"/>
                  </a:lnTo>
                  <a:cubicBezTo>
                    <a:pt x="5564" y="2912"/>
                    <a:pt x="0" y="7052"/>
                    <a:pt x="0" y="12158"/>
                  </a:cubicBezTo>
                  <a:lnTo>
                    <a:pt x="0" y="21600"/>
                  </a:lnTo>
                  <a:lnTo>
                    <a:pt x="6474" y="21600"/>
                  </a:lnTo>
                  <a:lnTo>
                    <a:pt x="6474" y="12158"/>
                  </a:lnTo>
                  <a:cubicBezTo>
                    <a:pt x="6474" y="10550"/>
                    <a:pt x="9139" y="9246"/>
                    <a:pt x="12427" y="9246"/>
                  </a:cubicBezTo>
                  <a:lnTo>
                    <a:pt x="15126" y="9246"/>
                  </a:lnTo>
                  <a:lnTo>
                    <a:pt x="15126" y="12158"/>
                  </a:lnTo>
                  <a:lnTo>
                    <a:pt x="21600" y="6079"/>
                  </a:lnTo>
                  <a:close/>
                </a:path>
              </a:pathLst>
            </a:cu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" name="AutoShape 5"/>
            <xdr:cNvSpPr>
              <a:spLocks noChangeArrowheads="1"/>
            </xdr:cNvSpPr>
          </xdr:nvSpPr>
          <xdr:spPr bwMode="auto">
            <a:xfrm>
              <a:off x="812" y="270"/>
              <a:ext cx="19" cy="42"/>
            </a:xfrm>
            <a:prstGeom prst="upArrow">
              <a:avLst>
                <a:gd name="adj1" fmla="val 50000"/>
                <a:gd name="adj2" fmla="val 55263"/>
              </a:avLst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4" name="Group 6"/>
          <xdr:cNvGrpSpPr>
            <a:grpSpLocks/>
          </xdr:cNvGrpSpPr>
        </xdr:nvGrpSpPr>
        <xdr:grpSpPr bwMode="auto">
          <a:xfrm flipV="1">
            <a:off x="2060493" y="888609"/>
            <a:ext cx="921238" cy="458537"/>
            <a:chOff x="747" y="258"/>
            <a:chExt cx="92" cy="42"/>
          </a:xfrm>
        </xdr:grpSpPr>
        <xdr:sp macro="" textlink="">
          <xdr:nvSpPr>
            <xdr:cNvPr id="13" name="AutoShape 7"/>
            <xdr:cNvSpPr>
              <a:spLocks noChangeArrowheads="1"/>
            </xdr:cNvSpPr>
          </xdr:nvSpPr>
          <xdr:spPr bwMode="auto">
            <a:xfrm>
              <a:off x="812" y="261"/>
              <a:ext cx="27" cy="37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17694720 60000 65536"/>
                <a:gd name="T9" fmla="*/ 5898240 60000 65536"/>
                <a:gd name="T10" fmla="*/ 5898240 60000 65536"/>
                <a:gd name="T11" fmla="*/ 0 60000 65536"/>
                <a:gd name="T12" fmla="*/ 12800 w 21600"/>
                <a:gd name="T13" fmla="*/ 2919 h 21600"/>
                <a:gd name="T14" fmla="*/ 18400 w 21600"/>
                <a:gd name="T15" fmla="*/ 9341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21600" y="6079"/>
                  </a:moveTo>
                  <a:lnTo>
                    <a:pt x="15126" y="0"/>
                  </a:lnTo>
                  <a:lnTo>
                    <a:pt x="15126" y="2912"/>
                  </a:lnTo>
                  <a:lnTo>
                    <a:pt x="12427" y="2912"/>
                  </a:lnTo>
                  <a:cubicBezTo>
                    <a:pt x="5564" y="2912"/>
                    <a:pt x="0" y="7052"/>
                    <a:pt x="0" y="12158"/>
                  </a:cubicBezTo>
                  <a:lnTo>
                    <a:pt x="0" y="21600"/>
                  </a:lnTo>
                  <a:lnTo>
                    <a:pt x="6474" y="21600"/>
                  </a:lnTo>
                  <a:lnTo>
                    <a:pt x="6474" y="12158"/>
                  </a:lnTo>
                  <a:cubicBezTo>
                    <a:pt x="6474" y="10550"/>
                    <a:pt x="9139" y="9246"/>
                    <a:pt x="12427" y="9246"/>
                  </a:cubicBezTo>
                  <a:lnTo>
                    <a:pt x="15126" y="9246"/>
                  </a:lnTo>
                  <a:lnTo>
                    <a:pt x="15126" y="12158"/>
                  </a:lnTo>
                  <a:lnTo>
                    <a:pt x="21600" y="6079"/>
                  </a:lnTo>
                  <a:close/>
                </a:path>
              </a:pathLst>
            </a:cu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" name="AutoShape 9"/>
            <xdr:cNvSpPr>
              <a:spLocks noChangeArrowheads="1"/>
            </xdr:cNvSpPr>
          </xdr:nvSpPr>
          <xdr:spPr bwMode="auto">
            <a:xfrm>
              <a:off x="747" y="258"/>
              <a:ext cx="19" cy="42"/>
            </a:xfrm>
            <a:prstGeom prst="upArrow">
              <a:avLst>
                <a:gd name="adj1" fmla="val 50000"/>
                <a:gd name="adj2" fmla="val 55263"/>
              </a:avLst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" name="AutoShape 11"/>
          <xdr:cNvSpPr>
            <a:spLocks noChangeArrowheads="1"/>
          </xdr:cNvSpPr>
        </xdr:nvSpPr>
        <xdr:spPr bwMode="auto">
          <a:xfrm rot="5400000" flipH="1">
            <a:off x="801897" y="1374122"/>
            <a:ext cx="294774" cy="370498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lnTo>
                  <a:pt x="21600" y="6079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" name="AutoShape 12"/>
          <xdr:cNvSpPr>
            <a:spLocks noChangeArrowheads="1"/>
          </xdr:cNvSpPr>
        </xdr:nvSpPr>
        <xdr:spPr bwMode="auto">
          <a:xfrm rot="5400000">
            <a:off x="845567" y="1791249"/>
            <a:ext cx="207433" cy="420565"/>
          </a:xfrm>
          <a:prstGeom prst="upArrow">
            <a:avLst>
              <a:gd name="adj1" fmla="val 50000"/>
              <a:gd name="adj2" fmla="val 55267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AutoShape 14"/>
          <xdr:cNvSpPr>
            <a:spLocks noChangeArrowheads="1"/>
          </xdr:cNvSpPr>
        </xdr:nvSpPr>
        <xdr:spPr bwMode="auto">
          <a:xfrm rot="16200000" flipH="1">
            <a:off x="3229877" y="2248417"/>
            <a:ext cx="294774" cy="370498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lnTo>
                  <a:pt x="21600" y="6079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" name="AutoShape 15"/>
          <xdr:cNvSpPr>
            <a:spLocks noChangeArrowheads="1"/>
          </xdr:cNvSpPr>
        </xdr:nvSpPr>
        <xdr:spPr bwMode="auto">
          <a:xfrm rot="-5400000">
            <a:off x="3272977" y="1801386"/>
            <a:ext cx="207433" cy="420565"/>
          </a:xfrm>
          <a:prstGeom prst="upArrow">
            <a:avLst>
              <a:gd name="adj1" fmla="val 50000"/>
              <a:gd name="adj2" fmla="val 55267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" name="AutoShape 7"/>
          <xdr:cNvSpPr>
            <a:spLocks noChangeArrowheads="1"/>
          </xdr:cNvSpPr>
        </xdr:nvSpPr>
        <xdr:spPr bwMode="auto">
          <a:xfrm flipV="1">
            <a:off x="1342364" y="920881"/>
            <a:ext cx="271076" cy="387263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scene3d>
            <a:camera prst="orthographicFront">
              <a:rot lat="0" lon="10800000" rev="0"/>
            </a:camera>
            <a:lightRig rig="threePt" dir="t"/>
          </a:scene3d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0" name="AutoShape 11"/>
          <xdr:cNvSpPr>
            <a:spLocks noChangeArrowheads="1"/>
          </xdr:cNvSpPr>
        </xdr:nvSpPr>
        <xdr:spPr bwMode="auto">
          <a:xfrm rot="5400000" flipH="1">
            <a:off x="788513" y="2287306"/>
            <a:ext cx="311962" cy="376009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scene3d>
            <a:camera prst="orthographicFront">
              <a:rot lat="0" lon="10800000" rev="0"/>
            </a:camera>
            <a:lightRig rig="threePt" dir="t"/>
          </a:scene3d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1" name="AutoShape 4"/>
          <xdr:cNvSpPr>
            <a:spLocks noChangeArrowheads="1"/>
          </xdr:cNvSpPr>
        </xdr:nvSpPr>
        <xdr:spPr bwMode="auto">
          <a:xfrm flipH="1">
            <a:off x="2619044" y="2588262"/>
            <a:ext cx="271076" cy="398020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scene3d>
            <a:camera prst="orthographicFront">
              <a:rot lat="0" lon="10800000" rev="0"/>
            </a:camera>
            <a:lightRig rig="threePt" dir="t"/>
          </a:scene3d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2" name="AutoShape 14"/>
          <xdr:cNvSpPr>
            <a:spLocks noChangeArrowheads="1"/>
          </xdr:cNvSpPr>
        </xdr:nvSpPr>
        <xdr:spPr bwMode="auto">
          <a:xfrm rot="16200000" flipH="1">
            <a:off x="3269559" y="1398823"/>
            <a:ext cx="290447" cy="36726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scene3d>
            <a:camera prst="orthographicFront">
              <a:rot lat="0" lon="10800000" rev="0"/>
            </a:camera>
            <a:lightRig rig="threePt" dir="t"/>
          </a:scene3d>
        </xdr:spPr>
        <xdr:txBody>
          <a:bodyPr/>
          <a:lstStyle/>
          <a:p>
            <a:endParaRPr lang="en-US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7</xdr:row>
      <xdr:rowOff>95250</xdr:rowOff>
    </xdr:from>
    <xdr:to>
      <xdr:col>11</xdr:col>
      <xdr:colOff>571500</xdr:colOff>
      <xdr:row>18</xdr:row>
      <xdr:rowOff>104775</xdr:rowOff>
    </xdr:to>
    <xdr:grpSp>
      <xdr:nvGrpSpPr>
        <xdr:cNvPr id="2" name="Group 29"/>
        <xdr:cNvGrpSpPr>
          <a:grpSpLocks/>
        </xdr:cNvGrpSpPr>
      </xdr:nvGrpSpPr>
      <xdr:grpSpPr bwMode="auto">
        <a:xfrm>
          <a:off x="4419600" y="1466850"/>
          <a:ext cx="2857500" cy="2124075"/>
          <a:chOff x="739001" y="888609"/>
          <a:chExt cx="2859414" cy="2097673"/>
        </a:xfrm>
      </xdr:grpSpPr>
      <xdr:grpSp>
        <xdr:nvGrpSpPr>
          <xdr:cNvPr id="3" name="Group 18"/>
          <xdr:cNvGrpSpPr>
            <a:grpSpLocks/>
          </xdr:cNvGrpSpPr>
        </xdr:nvGrpSpPr>
        <xdr:grpSpPr bwMode="auto">
          <a:xfrm>
            <a:off x="1364275" y="2511648"/>
            <a:ext cx="881185" cy="469454"/>
            <a:chOff x="743" y="270"/>
            <a:chExt cx="88" cy="43"/>
          </a:xfrm>
        </xdr:grpSpPr>
        <xdr:sp macro="" textlink="">
          <xdr:nvSpPr>
            <xdr:cNvPr id="15" name="AutoShape 4"/>
            <xdr:cNvSpPr>
              <a:spLocks noChangeArrowheads="1"/>
            </xdr:cNvSpPr>
          </xdr:nvSpPr>
          <xdr:spPr bwMode="auto">
            <a:xfrm flipH="1">
              <a:off x="743" y="276"/>
              <a:ext cx="27" cy="37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17694720 60000 65536"/>
                <a:gd name="T9" fmla="*/ 5898240 60000 65536"/>
                <a:gd name="T10" fmla="*/ 5898240 60000 65536"/>
                <a:gd name="T11" fmla="*/ 0 60000 65536"/>
                <a:gd name="T12" fmla="*/ 12800 w 21600"/>
                <a:gd name="T13" fmla="*/ 2919 h 21600"/>
                <a:gd name="T14" fmla="*/ 18400 w 21600"/>
                <a:gd name="T15" fmla="*/ 9341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21600" y="6079"/>
                  </a:moveTo>
                  <a:lnTo>
                    <a:pt x="15126" y="0"/>
                  </a:lnTo>
                  <a:lnTo>
                    <a:pt x="15126" y="2912"/>
                  </a:lnTo>
                  <a:lnTo>
                    <a:pt x="12427" y="2912"/>
                  </a:lnTo>
                  <a:cubicBezTo>
                    <a:pt x="5564" y="2912"/>
                    <a:pt x="0" y="7052"/>
                    <a:pt x="0" y="12158"/>
                  </a:cubicBezTo>
                  <a:lnTo>
                    <a:pt x="0" y="21600"/>
                  </a:lnTo>
                  <a:lnTo>
                    <a:pt x="6474" y="21600"/>
                  </a:lnTo>
                  <a:lnTo>
                    <a:pt x="6474" y="12158"/>
                  </a:lnTo>
                  <a:cubicBezTo>
                    <a:pt x="6474" y="10550"/>
                    <a:pt x="9139" y="9246"/>
                    <a:pt x="12427" y="9246"/>
                  </a:cubicBezTo>
                  <a:lnTo>
                    <a:pt x="15126" y="9246"/>
                  </a:lnTo>
                  <a:lnTo>
                    <a:pt x="15126" y="12158"/>
                  </a:lnTo>
                  <a:lnTo>
                    <a:pt x="21600" y="6079"/>
                  </a:lnTo>
                  <a:close/>
                </a:path>
              </a:pathLst>
            </a:cu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" name="AutoShape 5"/>
            <xdr:cNvSpPr>
              <a:spLocks noChangeArrowheads="1"/>
            </xdr:cNvSpPr>
          </xdr:nvSpPr>
          <xdr:spPr bwMode="auto">
            <a:xfrm>
              <a:off x="812" y="270"/>
              <a:ext cx="19" cy="42"/>
            </a:xfrm>
            <a:prstGeom prst="upArrow">
              <a:avLst>
                <a:gd name="adj1" fmla="val 50000"/>
                <a:gd name="adj2" fmla="val 55263"/>
              </a:avLst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4" name="Group 6"/>
          <xdr:cNvGrpSpPr>
            <a:grpSpLocks/>
          </xdr:cNvGrpSpPr>
        </xdr:nvGrpSpPr>
        <xdr:grpSpPr bwMode="auto">
          <a:xfrm flipV="1">
            <a:off x="2060493" y="888609"/>
            <a:ext cx="921238" cy="458537"/>
            <a:chOff x="747" y="258"/>
            <a:chExt cx="92" cy="42"/>
          </a:xfrm>
        </xdr:grpSpPr>
        <xdr:sp macro="" textlink="">
          <xdr:nvSpPr>
            <xdr:cNvPr id="13" name="AutoShape 7"/>
            <xdr:cNvSpPr>
              <a:spLocks noChangeArrowheads="1"/>
            </xdr:cNvSpPr>
          </xdr:nvSpPr>
          <xdr:spPr bwMode="auto">
            <a:xfrm>
              <a:off x="812" y="261"/>
              <a:ext cx="27" cy="37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17694720 60000 65536"/>
                <a:gd name="T9" fmla="*/ 5898240 60000 65536"/>
                <a:gd name="T10" fmla="*/ 5898240 60000 65536"/>
                <a:gd name="T11" fmla="*/ 0 60000 65536"/>
                <a:gd name="T12" fmla="*/ 12800 w 21600"/>
                <a:gd name="T13" fmla="*/ 2919 h 21600"/>
                <a:gd name="T14" fmla="*/ 18400 w 21600"/>
                <a:gd name="T15" fmla="*/ 9341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21600" y="6079"/>
                  </a:moveTo>
                  <a:lnTo>
                    <a:pt x="15126" y="0"/>
                  </a:lnTo>
                  <a:lnTo>
                    <a:pt x="15126" y="2912"/>
                  </a:lnTo>
                  <a:lnTo>
                    <a:pt x="12427" y="2912"/>
                  </a:lnTo>
                  <a:cubicBezTo>
                    <a:pt x="5564" y="2912"/>
                    <a:pt x="0" y="7052"/>
                    <a:pt x="0" y="12158"/>
                  </a:cubicBezTo>
                  <a:lnTo>
                    <a:pt x="0" y="21600"/>
                  </a:lnTo>
                  <a:lnTo>
                    <a:pt x="6474" y="21600"/>
                  </a:lnTo>
                  <a:lnTo>
                    <a:pt x="6474" y="12158"/>
                  </a:lnTo>
                  <a:cubicBezTo>
                    <a:pt x="6474" y="10550"/>
                    <a:pt x="9139" y="9246"/>
                    <a:pt x="12427" y="9246"/>
                  </a:cubicBezTo>
                  <a:lnTo>
                    <a:pt x="15126" y="9246"/>
                  </a:lnTo>
                  <a:lnTo>
                    <a:pt x="15126" y="12158"/>
                  </a:lnTo>
                  <a:lnTo>
                    <a:pt x="21600" y="6079"/>
                  </a:lnTo>
                  <a:close/>
                </a:path>
              </a:pathLst>
            </a:cu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" name="AutoShape 9"/>
            <xdr:cNvSpPr>
              <a:spLocks noChangeArrowheads="1"/>
            </xdr:cNvSpPr>
          </xdr:nvSpPr>
          <xdr:spPr bwMode="auto">
            <a:xfrm>
              <a:off x="747" y="258"/>
              <a:ext cx="19" cy="42"/>
            </a:xfrm>
            <a:prstGeom prst="upArrow">
              <a:avLst>
                <a:gd name="adj1" fmla="val 50000"/>
                <a:gd name="adj2" fmla="val 55263"/>
              </a:avLst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" name="AutoShape 11"/>
          <xdr:cNvSpPr>
            <a:spLocks noChangeArrowheads="1"/>
          </xdr:cNvSpPr>
        </xdr:nvSpPr>
        <xdr:spPr bwMode="auto">
          <a:xfrm rot="5400000" flipH="1">
            <a:off x="801897" y="1374122"/>
            <a:ext cx="294774" cy="370498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lnTo>
                  <a:pt x="21600" y="6079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" name="AutoShape 12"/>
          <xdr:cNvSpPr>
            <a:spLocks noChangeArrowheads="1"/>
          </xdr:cNvSpPr>
        </xdr:nvSpPr>
        <xdr:spPr bwMode="auto">
          <a:xfrm rot="5400000">
            <a:off x="845567" y="1791249"/>
            <a:ext cx="207433" cy="420565"/>
          </a:xfrm>
          <a:prstGeom prst="upArrow">
            <a:avLst>
              <a:gd name="adj1" fmla="val 50000"/>
              <a:gd name="adj2" fmla="val 55267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AutoShape 14"/>
          <xdr:cNvSpPr>
            <a:spLocks noChangeArrowheads="1"/>
          </xdr:cNvSpPr>
        </xdr:nvSpPr>
        <xdr:spPr bwMode="auto">
          <a:xfrm rot="16200000" flipH="1">
            <a:off x="3229877" y="2248417"/>
            <a:ext cx="294774" cy="370498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lnTo>
                  <a:pt x="21600" y="6079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" name="AutoShape 15"/>
          <xdr:cNvSpPr>
            <a:spLocks noChangeArrowheads="1"/>
          </xdr:cNvSpPr>
        </xdr:nvSpPr>
        <xdr:spPr bwMode="auto">
          <a:xfrm rot="-5400000">
            <a:off x="3272977" y="1801386"/>
            <a:ext cx="207433" cy="420565"/>
          </a:xfrm>
          <a:prstGeom prst="upArrow">
            <a:avLst>
              <a:gd name="adj1" fmla="val 50000"/>
              <a:gd name="adj2" fmla="val 55267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" name="AutoShape 7"/>
          <xdr:cNvSpPr>
            <a:spLocks noChangeArrowheads="1"/>
          </xdr:cNvSpPr>
        </xdr:nvSpPr>
        <xdr:spPr bwMode="auto">
          <a:xfrm flipV="1">
            <a:off x="1342364" y="920881"/>
            <a:ext cx="271076" cy="387263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scene3d>
            <a:camera prst="orthographicFront">
              <a:rot lat="0" lon="10800000" rev="0"/>
            </a:camera>
            <a:lightRig rig="threePt" dir="t"/>
          </a:scene3d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0" name="AutoShape 11"/>
          <xdr:cNvSpPr>
            <a:spLocks noChangeArrowheads="1"/>
          </xdr:cNvSpPr>
        </xdr:nvSpPr>
        <xdr:spPr bwMode="auto">
          <a:xfrm rot="5400000" flipH="1">
            <a:off x="788513" y="2287306"/>
            <a:ext cx="311962" cy="376009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scene3d>
            <a:camera prst="orthographicFront">
              <a:rot lat="0" lon="10800000" rev="0"/>
            </a:camera>
            <a:lightRig rig="threePt" dir="t"/>
          </a:scene3d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1" name="AutoShape 4"/>
          <xdr:cNvSpPr>
            <a:spLocks noChangeArrowheads="1"/>
          </xdr:cNvSpPr>
        </xdr:nvSpPr>
        <xdr:spPr bwMode="auto">
          <a:xfrm flipH="1">
            <a:off x="2619044" y="2588262"/>
            <a:ext cx="271076" cy="398020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scene3d>
            <a:camera prst="orthographicFront">
              <a:rot lat="0" lon="10800000" rev="0"/>
            </a:camera>
            <a:lightRig rig="threePt" dir="t"/>
          </a:scene3d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2" name="AutoShape 14"/>
          <xdr:cNvSpPr>
            <a:spLocks noChangeArrowheads="1"/>
          </xdr:cNvSpPr>
        </xdr:nvSpPr>
        <xdr:spPr bwMode="auto">
          <a:xfrm rot="16200000" flipH="1">
            <a:off x="3269559" y="1398823"/>
            <a:ext cx="290447" cy="36726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scene3d>
            <a:camera prst="orthographicFront">
              <a:rot lat="0" lon="10800000" rev="0"/>
            </a:camera>
            <a:lightRig rig="threePt" dir="t"/>
          </a:scene3d>
        </xdr:spPr>
        <xdr:txBody>
          <a:bodyPr/>
          <a:lstStyle/>
          <a:p>
            <a:endParaRPr lang="en-US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7</xdr:row>
      <xdr:rowOff>95250</xdr:rowOff>
    </xdr:from>
    <xdr:to>
      <xdr:col>11</xdr:col>
      <xdr:colOff>571500</xdr:colOff>
      <xdr:row>18</xdr:row>
      <xdr:rowOff>104775</xdr:rowOff>
    </xdr:to>
    <xdr:grpSp>
      <xdr:nvGrpSpPr>
        <xdr:cNvPr id="2" name="Group 29"/>
        <xdr:cNvGrpSpPr>
          <a:grpSpLocks/>
        </xdr:cNvGrpSpPr>
      </xdr:nvGrpSpPr>
      <xdr:grpSpPr bwMode="auto">
        <a:xfrm>
          <a:off x="4419600" y="1466850"/>
          <a:ext cx="2857500" cy="2124075"/>
          <a:chOff x="739001" y="888609"/>
          <a:chExt cx="2859414" cy="2097673"/>
        </a:xfrm>
      </xdr:grpSpPr>
      <xdr:grpSp>
        <xdr:nvGrpSpPr>
          <xdr:cNvPr id="3" name="Group 18"/>
          <xdr:cNvGrpSpPr>
            <a:grpSpLocks/>
          </xdr:cNvGrpSpPr>
        </xdr:nvGrpSpPr>
        <xdr:grpSpPr bwMode="auto">
          <a:xfrm>
            <a:off x="1364275" y="2511648"/>
            <a:ext cx="881185" cy="469454"/>
            <a:chOff x="743" y="270"/>
            <a:chExt cx="88" cy="43"/>
          </a:xfrm>
        </xdr:grpSpPr>
        <xdr:sp macro="" textlink="">
          <xdr:nvSpPr>
            <xdr:cNvPr id="15" name="AutoShape 4"/>
            <xdr:cNvSpPr>
              <a:spLocks noChangeArrowheads="1"/>
            </xdr:cNvSpPr>
          </xdr:nvSpPr>
          <xdr:spPr bwMode="auto">
            <a:xfrm flipH="1">
              <a:off x="743" y="276"/>
              <a:ext cx="27" cy="37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17694720 60000 65536"/>
                <a:gd name="T9" fmla="*/ 5898240 60000 65536"/>
                <a:gd name="T10" fmla="*/ 5898240 60000 65536"/>
                <a:gd name="T11" fmla="*/ 0 60000 65536"/>
                <a:gd name="T12" fmla="*/ 12800 w 21600"/>
                <a:gd name="T13" fmla="*/ 2919 h 21600"/>
                <a:gd name="T14" fmla="*/ 18400 w 21600"/>
                <a:gd name="T15" fmla="*/ 9341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21600" y="6079"/>
                  </a:moveTo>
                  <a:lnTo>
                    <a:pt x="15126" y="0"/>
                  </a:lnTo>
                  <a:lnTo>
                    <a:pt x="15126" y="2912"/>
                  </a:lnTo>
                  <a:lnTo>
                    <a:pt x="12427" y="2912"/>
                  </a:lnTo>
                  <a:cubicBezTo>
                    <a:pt x="5564" y="2912"/>
                    <a:pt x="0" y="7052"/>
                    <a:pt x="0" y="12158"/>
                  </a:cubicBezTo>
                  <a:lnTo>
                    <a:pt x="0" y="21600"/>
                  </a:lnTo>
                  <a:lnTo>
                    <a:pt x="6474" y="21600"/>
                  </a:lnTo>
                  <a:lnTo>
                    <a:pt x="6474" y="12158"/>
                  </a:lnTo>
                  <a:cubicBezTo>
                    <a:pt x="6474" y="10550"/>
                    <a:pt x="9139" y="9246"/>
                    <a:pt x="12427" y="9246"/>
                  </a:cubicBezTo>
                  <a:lnTo>
                    <a:pt x="15126" y="9246"/>
                  </a:lnTo>
                  <a:lnTo>
                    <a:pt x="15126" y="12158"/>
                  </a:lnTo>
                  <a:lnTo>
                    <a:pt x="21600" y="6079"/>
                  </a:lnTo>
                  <a:close/>
                </a:path>
              </a:pathLst>
            </a:cu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" name="AutoShape 5"/>
            <xdr:cNvSpPr>
              <a:spLocks noChangeArrowheads="1"/>
            </xdr:cNvSpPr>
          </xdr:nvSpPr>
          <xdr:spPr bwMode="auto">
            <a:xfrm>
              <a:off x="812" y="270"/>
              <a:ext cx="19" cy="42"/>
            </a:xfrm>
            <a:prstGeom prst="upArrow">
              <a:avLst>
                <a:gd name="adj1" fmla="val 50000"/>
                <a:gd name="adj2" fmla="val 55263"/>
              </a:avLst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4" name="Group 6"/>
          <xdr:cNvGrpSpPr>
            <a:grpSpLocks/>
          </xdr:cNvGrpSpPr>
        </xdr:nvGrpSpPr>
        <xdr:grpSpPr bwMode="auto">
          <a:xfrm flipV="1">
            <a:off x="2060493" y="888609"/>
            <a:ext cx="921238" cy="458537"/>
            <a:chOff x="747" y="258"/>
            <a:chExt cx="92" cy="42"/>
          </a:xfrm>
        </xdr:grpSpPr>
        <xdr:sp macro="" textlink="">
          <xdr:nvSpPr>
            <xdr:cNvPr id="13" name="AutoShape 7"/>
            <xdr:cNvSpPr>
              <a:spLocks noChangeArrowheads="1"/>
            </xdr:cNvSpPr>
          </xdr:nvSpPr>
          <xdr:spPr bwMode="auto">
            <a:xfrm>
              <a:off x="812" y="261"/>
              <a:ext cx="27" cy="37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17694720 60000 65536"/>
                <a:gd name="T9" fmla="*/ 5898240 60000 65536"/>
                <a:gd name="T10" fmla="*/ 5898240 60000 65536"/>
                <a:gd name="T11" fmla="*/ 0 60000 65536"/>
                <a:gd name="T12" fmla="*/ 12800 w 21600"/>
                <a:gd name="T13" fmla="*/ 2919 h 21600"/>
                <a:gd name="T14" fmla="*/ 18400 w 21600"/>
                <a:gd name="T15" fmla="*/ 9341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21600" y="6079"/>
                  </a:moveTo>
                  <a:lnTo>
                    <a:pt x="15126" y="0"/>
                  </a:lnTo>
                  <a:lnTo>
                    <a:pt x="15126" y="2912"/>
                  </a:lnTo>
                  <a:lnTo>
                    <a:pt x="12427" y="2912"/>
                  </a:lnTo>
                  <a:cubicBezTo>
                    <a:pt x="5564" y="2912"/>
                    <a:pt x="0" y="7052"/>
                    <a:pt x="0" y="12158"/>
                  </a:cubicBezTo>
                  <a:lnTo>
                    <a:pt x="0" y="21600"/>
                  </a:lnTo>
                  <a:lnTo>
                    <a:pt x="6474" y="21600"/>
                  </a:lnTo>
                  <a:lnTo>
                    <a:pt x="6474" y="12158"/>
                  </a:lnTo>
                  <a:cubicBezTo>
                    <a:pt x="6474" y="10550"/>
                    <a:pt x="9139" y="9246"/>
                    <a:pt x="12427" y="9246"/>
                  </a:cubicBezTo>
                  <a:lnTo>
                    <a:pt x="15126" y="9246"/>
                  </a:lnTo>
                  <a:lnTo>
                    <a:pt x="15126" y="12158"/>
                  </a:lnTo>
                  <a:lnTo>
                    <a:pt x="21600" y="6079"/>
                  </a:lnTo>
                  <a:close/>
                </a:path>
              </a:pathLst>
            </a:cu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" name="AutoShape 9"/>
            <xdr:cNvSpPr>
              <a:spLocks noChangeArrowheads="1"/>
            </xdr:cNvSpPr>
          </xdr:nvSpPr>
          <xdr:spPr bwMode="auto">
            <a:xfrm>
              <a:off x="747" y="258"/>
              <a:ext cx="19" cy="42"/>
            </a:xfrm>
            <a:prstGeom prst="upArrow">
              <a:avLst>
                <a:gd name="adj1" fmla="val 50000"/>
                <a:gd name="adj2" fmla="val 55263"/>
              </a:avLst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" name="AutoShape 11"/>
          <xdr:cNvSpPr>
            <a:spLocks noChangeArrowheads="1"/>
          </xdr:cNvSpPr>
        </xdr:nvSpPr>
        <xdr:spPr bwMode="auto">
          <a:xfrm rot="5400000" flipH="1">
            <a:off x="801897" y="1374122"/>
            <a:ext cx="294774" cy="370498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lnTo>
                  <a:pt x="21600" y="6079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" name="AutoShape 12"/>
          <xdr:cNvSpPr>
            <a:spLocks noChangeArrowheads="1"/>
          </xdr:cNvSpPr>
        </xdr:nvSpPr>
        <xdr:spPr bwMode="auto">
          <a:xfrm rot="5400000">
            <a:off x="845567" y="1791249"/>
            <a:ext cx="207433" cy="420565"/>
          </a:xfrm>
          <a:prstGeom prst="upArrow">
            <a:avLst>
              <a:gd name="adj1" fmla="val 50000"/>
              <a:gd name="adj2" fmla="val 55267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AutoShape 14"/>
          <xdr:cNvSpPr>
            <a:spLocks noChangeArrowheads="1"/>
          </xdr:cNvSpPr>
        </xdr:nvSpPr>
        <xdr:spPr bwMode="auto">
          <a:xfrm rot="16200000" flipH="1">
            <a:off x="3229877" y="2248417"/>
            <a:ext cx="294774" cy="370498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lnTo>
                  <a:pt x="21600" y="6079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" name="AutoShape 15"/>
          <xdr:cNvSpPr>
            <a:spLocks noChangeArrowheads="1"/>
          </xdr:cNvSpPr>
        </xdr:nvSpPr>
        <xdr:spPr bwMode="auto">
          <a:xfrm rot="-5400000">
            <a:off x="3272977" y="1801386"/>
            <a:ext cx="207433" cy="420565"/>
          </a:xfrm>
          <a:prstGeom prst="upArrow">
            <a:avLst>
              <a:gd name="adj1" fmla="val 50000"/>
              <a:gd name="adj2" fmla="val 55267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" name="AutoShape 7"/>
          <xdr:cNvSpPr>
            <a:spLocks noChangeArrowheads="1"/>
          </xdr:cNvSpPr>
        </xdr:nvSpPr>
        <xdr:spPr bwMode="auto">
          <a:xfrm flipV="1">
            <a:off x="1342364" y="920881"/>
            <a:ext cx="271076" cy="387263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scene3d>
            <a:camera prst="orthographicFront">
              <a:rot lat="0" lon="10800000" rev="0"/>
            </a:camera>
            <a:lightRig rig="threePt" dir="t"/>
          </a:scene3d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0" name="AutoShape 11"/>
          <xdr:cNvSpPr>
            <a:spLocks noChangeArrowheads="1"/>
          </xdr:cNvSpPr>
        </xdr:nvSpPr>
        <xdr:spPr bwMode="auto">
          <a:xfrm rot="5400000" flipH="1">
            <a:off x="788513" y="2287306"/>
            <a:ext cx="311962" cy="376009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scene3d>
            <a:camera prst="orthographicFront">
              <a:rot lat="0" lon="10800000" rev="0"/>
            </a:camera>
            <a:lightRig rig="threePt" dir="t"/>
          </a:scene3d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1" name="AutoShape 4"/>
          <xdr:cNvSpPr>
            <a:spLocks noChangeArrowheads="1"/>
          </xdr:cNvSpPr>
        </xdr:nvSpPr>
        <xdr:spPr bwMode="auto">
          <a:xfrm flipH="1">
            <a:off x="2619044" y="2588262"/>
            <a:ext cx="271076" cy="398020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scene3d>
            <a:camera prst="orthographicFront">
              <a:rot lat="0" lon="10800000" rev="0"/>
            </a:camera>
            <a:lightRig rig="threePt" dir="t"/>
          </a:scene3d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2" name="AutoShape 14"/>
          <xdr:cNvSpPr>
            <a:spLocks noChangeArrowheads="1"/>
          </xdr:cNvSpPr>
        </xdr:nvSpPr>
        <xdr:spPr bwMode="auto">
          <a:xfrm rot="16200000" flipH="1">
            <a:off x="3269559" y="1398823"/>
            <a:ext cx="290447" cy="36726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scene3d>
            <a:camera prst="orthographicFront">
              <a:rot lat="0" lon="10800000" rev="0"/>
            </a:camera>
            <a:lightRig rig="threePt" dir="t"/>
          </a:scene3d>
        </xdr:spPr>
        <xdr:txBody>
          <a:bodyPr/>
          <a:lstStyle/>
          <a:p>
            <a:endParaRPr lang="en-US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7</xdr:row>
      <xdr:rowOff>95250</xdr:rowOff>
    </xdr:from>
    <xdr:to>
      <xdr:col>11</xdr:col>
      <xdr:colOff>571500</xdr:colOff>
      <xdr:row>18</xdr:row>
      <xdr:rowOff>104775</xdr:rowOff>
    </xdr:to>
    <xdr:grpSp>
      <xdr:nvGrpSpPr>
        <xdr:cNvPr id="2" name="Group 29"/>
        <xdr:cNvGrpSpPr>
          <a:grpSpLocks/>
        </xdr:cNvGrpSpPr>
      </xdr:nvGrpSpPr>
      <xdr:grpSpPr bwMode="auto">
        <a:xfrm>
          <a:off x="4419600" y="1466850"/>
          <a:ext cx="2857500" cy="2124075"/>
          <a:chOff x="739001" y="888609"/>
          <a:chExt cx="2859414" cy="2097673"/>
        </a:xfrm>
      </xdr:grpSpPr>
      <xdr:grpSp>
        <xdr:nvGrpSpPr>
          <xdr:cNvPr id="3" name="Group 18"/>
          <xdr:cNvGrpSpPr>
            <a:grpSpLocks/>
          </xdr:cNvGrpSpPr>
        </xdr:nvGrpSpPr>
        <xdr:grpSpPr bwMode="auto">
          <a:xfrm>
            <a:off x="1364275" y="2511648"/>
            <a:ext cx="881185" cy="469454"/>
            <a:chOff x="743" y="270"/>
            <a:chExt cx="88" cy="43"/>
          </a:xfrm>
        </xdr:grpSpPr>
        <xdr:sp macro="" textlink="">
          <xdr:nvSpPr>
            <xdr:cNvPr id="15" name="AutoShape 4"/>
            <xdr:cNvSpPr>
              <a:spLocks noChangeArrowheads="1"/>
            </xdr:cNvSpPr>
          </xdr:nvSpPr>
          <xdr:spPr bwMode="auto">
            <a:xfrm flipH="1">
              <a:off x="743" y="276"/>
              <a:ext cx="27" cy="37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17694720 60000 65536"/>
                <a:gd name="T9" fmla="*/ 5898240 60000 65536"/>
                <a:gd name="T10" fmla="*/ 5898240 60000 65536"/>
                <a:gd name="T11" fmla="*/ 0 60000 65536"/>
                <a:gd name="T12" fmla="*/ 12800 w 21600"/>
                <a:gd name="T13" fmla="*/ 2919 h 21600"/>
                <a:gd name="T14" fmla="*/ 18400 w 21600"/>
                <a:gd name="T15" fmla="*/ 9341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21600" y="6079"/>
                  </a:moveTo>
                  <a:lnTo>
                    <a:pt x="15126" y="0"/>
                  </a:lnTo>
                  <a:lnTo>
                    <a:pt x="15126" y="2912"/>
                  </a:lnTo>
                  <a:lnTo>
                    <a:pt x="12427" y="2912"/>
                  </a:lnTo>
                  <a:cubicBezTo>
                    <a:pt x="5564" y="2912"/>
                    <a:pt x="0" y="7052"/>
                    <a:pt x="0" y="12158"/>
                  </a:cubicBezTo>
                  <a:lnTo>
                    <a:pt x="0" y="21600"/>
                  </a:lnTo>
                  <a:lnTo>
                    <a:pt x="6474" y="21600"/>
                  </a:lnTo>
                  <a:lnTo>
                    <a:pt x="6474" y="12158"/>
                  </a:lnTo>
                  <a:cubicBezTo>
                    <a:pt x="6474" y="10550"/>
                    <a:pt x="9139" y="9246"/>
                    <a:pt x="12427" y="9246"/>
                  </a:cubicBezTo>
                  <a:lnTo>
                    <a:pt x="15126" y="9246"/>
                  </a:lnTo>
                  <a:lnTo>
                    <a:pt x="15126" y="12158"/>
                  </a:lnTo>
                  <a:lnTo>
                    <a:pt x="21600" y="6079"/>
                  </a:lnTo>
                  <a:close/>
                </a:path>
              </a:pathLst>
            </a:cu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" name="AutoShape 5"/>
            <xdr:cNvSpPr>
              <a:spLocks noChangeArrowheads="1"/>
            </xdr:cNvSpPr>
          </xdr:nvSpPr>
          <xdr:spPr bwMode="auto">
            <a:xfrm>
              <a:off x="812" y="270"/>
              <a:ext cx="19" cy="42"/>
            </a:xfrm>
            <a:prstGeom prst="upArrow">
              <a:avLst>
                <a:gd name="adj1" fmla="val 50000"/>
                <a:gd name="adj2" fmla="val 55263"/>
              </a:avLst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4" name="Group 6"/>
          <xdr:cNvGrpSpPr>
            <a:grpSpLocks/>
          </xdr:cNvGrpSpPr>
        </xdr:nvGrpSpPr>
        <xdr:grpSpPr bwMode="auto">
          <a:xfrm flipV="1">
            <a:off x="2060493" y="888609"/>
            <a:ext cx="921238" cy="458537"/>
            <a:chOff x="747" y="258"/>
            <a:chExt cx="92" cy="42"/>
          </a:xfrm>
        </xdr:grpSpPr>
        <xdr:sp macro="" textlink="">
          <xdr:nvSpPr>
            <xdr:cNvPr id="13" name="AutoShape 7"/>
            <xdr:cNvSpPr>
              <a:spLocks noChangeArrowheads="1"/>
            </xdr:cNvSpPr>
          </xdr:nvSpPr>
          <xdr:spPr bwMode="auto">
            <a:xfrm>
              <a:off x="812" y="261"/>
              <a:ext cx="27" cy="37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17694720 60000 65536"/>
                <a:gd name="T9" fmla="*/ 5898240 60000 65536"/>
                <a:gd name="T10" fmla="*/ 5898240 60000 65536"/>
                <a:gd name="T11" fmla="*/ 0 60000 65536"/>
                <a:gd name="T12" fmla="*/ 12800 w 21600"/>
                <a:gd name="T13" fmla="*/ 2919 h 21600"/>
                <a:gd name="T14" fmla="*/ 18400 w 21600"/>
                <a:gd name="T15" fmla="*/ 9341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21600" y="6079"/>
                  </a:moveTo>
                  <a:lnTo>
                    <a:pt x="15126" y="0"/>
                  </a:lnTo>
                  <a:lnTo>
                    <a:pt x="15126" y="2912"/>
                  </a:lnTo>
                  <a:lnTo>
                    <a:pt x="12427" y="2912"/>
                  </a:lnTo>
                  <a:cubicBezTo>
                    <a:pt x="5564" y="2912"/>
                    <a:pt x="0" y="7052"/>
                    <a:pt x="0" y="12158"/>
                  </a:cubicBezTo>
                  <a:lnTo>
                    <a:pt x="0" y="21600"/>
                  </a:lnTo>
                  <a:lnTo>
                    <a:pt x="6474" y="21600"/>
                  </a:lnTo>
                  <a:lnTo>
                    <a:pt x="6474" y="12158"/>
                  </a:lnTo>
                  <a:cubicBezTo>
                    <a:pt x="6474" y="10550"/>
                    <a:pt x="9139" y="9246"/>
                    <a:pt x="12427" y="9246"/>
                  </a:cubicBezTo>
                  <a:lnTo>
                    <a:pt x="15126" y="9246"/>
                  </a:lnTo>
                  <a:lnTo>
                    <a:pt x="15126" y="12158"/>
                  </a:lnTo>
                  <a:lnTo>
                    <a:pt x="21600" y="6079"/>
                  </a:lnTo>
                  <a:close/>
                </a:path>
              </a:pathLst>
            </a:cu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" name="AutoShape 9"/>
            <xdr:cNvSpPr>
              <a:spLocks noChangeArrowheads="1"/>
            </xdr:cNvSpPr>
          </xdr:nvSpPr>
          <xdr:spPr bwMode="auto">
            <a:xfrm>
              <a:off x="747" y="258"/>
              <a:ext cx="19" cy="42"/>
            </a:xfrm>
            <a:prstGeom prst="upArrow">
              <a:avLst>
                <a:gd name="adj1" fmla="val 50000"/>
                <a:gd name="adj2" fmla="val 55263"/>
              </a:avLst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" name="AutoShape 11"/>
          <xdr:cNvSpPr>
            <a:spLocks noChangeArrowheads="1"/>
          </xdr:cNvSpPr>
        </xdr:nvSpPr>
        <xdr:spPr bwMode="auto">
          <a:xfrm rot="5400000" flipH="1">
            <a:off x="801897" y="1374122"/>
            <a:ext cx="294774" cy="370498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lnTo>
                  <a:pt x="21600" y="6079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" name="AutoShape 12"/>
          <xdr:cNvSpPr>
            <a:spLocks noChangeArrowheads="1"/>
          </xdr:cNvSpPr>
        </xdr:nvSpPr>
        <xdr:spPr bwMode="auto">
          <a:xfrm rot="5400000">
            <a:off x="845567" y="1791249"/>
            <a:ext cx="207433" cy="420565"/>
          </a:xfrm>
          <a:prstGeom prst="upArrow">
            <a:avLst>
              <a:gd name="adj1" fmla="val 50000"/>
              <a:gd name="adj2" fmla="val 55267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AutoShape 14"/>
          <xdr:cNvSpPr>
            <a:spLocks noChangeArrowheads="1"/>
          </xdr:cNvSpPr>
        </xdr:nvSpPr>
        <xdr:spPr bwMode="auto">
          <a:xfrm rot="16200000" flipH="1">
            <a:off x="3229877" y="2248417"/>
            <a:ext cx="294774" cy="370498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lnTo>
                  <a:pt x="21600" y="6079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" name="AutoShape 15"/>
          <xdr:cNvSpPr>
            <a:spLocks noChangeArrowheads="1"/>
          </xdr:cNvSpPr>
        </xdr:nvSpPr>
        <xdr:spPr bwMode="auto">
          <a:xfrm rot="-5400000">
            <a:off x="3272977" y="1801386"/>
            <a:ext cx="207433" cy="420565"/>
          </a:xfrm>
          <a:prstGeom prst="upArrow">
            <a:avLst>
              <a:gd name="adj1" fmla="val 50000"/>
              <a:gd name="adj2" fmla="val 55267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" name="AutoShape 7"/>
          <xdr:cNvSpPr>
            <a:spLocks noChangeArrowheads="1"/>
          </xdr:cNvSpPr>
        </xdr:nvSpPr>
        <xdr:spPr bwMode="auto">
          <a:xfrm flipV="1">
            <a:off x="1342364" y="920881"/>
            <a:ext cx="271076" cy="387263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scene3d>
            <a:camera prst="orthographicFront">
              <a:rot lat="0" lon="10800000" rev="0"/>
            </a:camera>
            <a:lightRig rig="threePt" dir="t"/>
          </a:scene3d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0" name="AutoShape 11"/>
          <xdr:cNvSpPr>
            <a:spLocks noChangeArrowheads="1"/>
          </xdr:cNvSpPr>
        </xdr:nvSpPr>
        <xdr:spPr bwMode="auto">
          <a:xfrm rot="5400000" flipH="1">
            <a:off x="788513" y="2287306"/>
            <a:ext cx="311962" cy="376009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scene3d>
            <a:camera prst="orthographicFront">
              <a:rot lat="0" lon="10800000" rev="0"/>
            </a:camera>
            <a:lightRig rig="threePt" dir="t"/>
          </a:scene3d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1" name="AutoShape 4"/>
          <xdr:cNvSpPr>
            <a:spLocks noChangeArrowheads="1"/>
          </xdr:cNvSpPr>
        </xdr:nvSpPr>
        <xdr:spPr bwMode="auto">
          <a:xfrm flipH="1">
            <a:off x="2619044" y="2588262"/>
            <a:ext cx="271076" cy="398020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scene3d>
            <a:camera prst="orthographicFront">
              <a:rot lat="0" lon="10800000" rev="0"/>
            </a:camera>
            <a:lightRig rig="threePt" dir="t"/>
          </a:scene3d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2" name="AutoShape 14"/>
          <xdr:cNvSpPr>
            <a:spLocks noChangeArrowheads="1"/>
          </xdr:cNvSpPr>
        </xdr:nvSpPr>
        <xdr:spPr bwMode="auto">
          <a:xfrm rot="16200000" flipH="1">
            <a:off x="3269559" y="1398823"/>
            <a:ext cx="290447" cy="36726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17694720 60000 65536"/>
              <a:gd name="T9" fmla="*/ 5898240 60000 65536"/>
              <a:gd name="T10" fmla="*/ 5898240 60000 65536"/>
              <a:gd name="T11" fmla="*/ 0 60000 65536"/>
              <a:gd name="T12" fmla="*/ 12800 w 21600"/>
              <a:gd name="T13" fmla="*/ 2919 h 21600"/>
              <a:gd name="T14" fmla="*/ 18400 w 21600"/>
              <a:gd name="T15" fmla="*/ 9341 h 2160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1600" h="21600">
                <a:moveTo>
                  <a:pt x="21600" y="6079"/>
                </a:moveTo>
                <a:lnTo>
                  <a:pt x="15126" y="0"/>
                </a:lnTo>
                <a:lnTo>
                  <a:pt x="15126" y="2912"/>
                </a:lnTo>
                <a:lnTo>
                  <a:pt x="12427" y="2912"/>
                </a:lnTo>
                <a:cubicBezTo>
                  <a:pt x="5564" y="2912"/>
                  <a:pt x="0" y="7052"/>
                  <a:pt x="0" y="12158"/>
                </a:cubicBezTo>
                <a:lnTo>
                  <a:pt x="0" y="21600"/>
                </a:lnTo>
                <a:lnTo>
                  <a:pt x="6474" y="21600"/>
                </a:lnTo>
                <a:lnTo>
                  <a:pt x="6474" y="12158"/>
                </a:lnTo>
                <a:cubicBezTo>
                  <a:pt x="6474" y="10550"/>
                  <a:pt x="9139" y="9246"/>
                  <a:pt x="12427" y="9246"/>
                </a:cubicBezTo>
                <a:lnTo>
                  <a:pt x="15126" y="9246"/>
                </a:lnTo>
                <a:lnTo>
                  <a:pt x="15126" y="12158"/>
                </a:lnTo>
                <a:close/>
              </a:path>
            </a:pathLst>
          </a:cu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scene3d>
            <a:camera prst="orthographicFront">
              <a:rot lat="0" lon="10800000" rev="0"/>
            </a:camera>
            <a:lightRig rig="threePt" dir="t"/>
          </a:scene3d>
        </xdr:spPr>
        <xdr:txBody>
          <a:bodyPr/>
          <a:lstStyle/>
          <a:p>
            <a:endParaRPr 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hyperlink" Target="Intersection%20Foothill%20&amp;%20Wakara%20QEM.xlsm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Intersection%202100%20East%20&amp;%20Sunnyside%20QEM%20Report.pdf" TargetMode="External"/><Relationship Id="rId1" Type="http://schemas.openxmlformats.org/officeDocument/2006/relationships/hyperlink" Target="Intersection%202100%20East%20&amp;%20Sunnyside%20QEM.xlsm" TargetMode="External"/><Relationship Id="rId6" Type="http://schemas.openxmlformats.org/officeDocument/2006/relationships/hyperlink" Target="Intersection%20VA%20Drive%20&amp;%20Foothill%20QEM%20Report.pdf" TargetMode="External"/><Relationship Id="rId5" Type="http://schemas.openxmlformats.org/officeDocument/2006/relationships/hyperlink" Target="Intersection%20VA%20Drive%20&amp;%20Foothill%20QEM.xlsm" TargetMode="External"/><Relationship Id="rId4" Type="http://schemas.openxmlformats.org/officeDocument/2006/relationships/hyperlink" Target="Intersection%20Foothill%20&amp;%20Wakara%20QEM%20Report.pdf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S32"/>
  <sheetViews>
    <sheetView workbookViewId="0"/>
  </sheetViews>
  <sheetFormatPr defaultRowHeight="15"/>
  <sheetData>
    <row r="1" spans="1:19" ht="15.75" thickBot="1">
      <c r="A1" s="1">
        <v>4022</v>
      </c>
      <c r="B1" s="1" t="str">
        <f>I26&amp;" &amp; "&amp;R13</f>
        <v>2100 East &amp; Sunnyside</v>
      </c>
      <c r="C1" s="1"/>
      <c r="D1" s="1"/>
      <c r="E1" s="32"/>
      <c r="F1" s="32"/>
      <c r="G1" s="32"/>
      <c r="H1" s="32"/>
      <c r="I1" s="32"/>
      <c r="J1" s="32"/>
      <c r="K1" s="32"/>
      <c r="L1" s="32"/>
      <c r="M1" s="32"/>
      <c r="N1" s="24"/>
      <c r="O1" s="24"/>
      <c r="P1" s="24"/>
      <c r="Q1" s="24"/>
      <c r="R1" s="24"/>
      <c r="S1" s="24"/>
    </row>
    <row r="2" spans="1:19" ht="15.75" thickBot="1">
      <c r="A2" s="25"/>
      <c r="B2" s="1"/>
      <c r="C2" s="1"/>
      <c r="D2" s="1"/>
      <c r="E2" s="1"/>
      <c r="F2" s="1"/>
      <c r="G2" s="32"/>
      <c r="H2" s="32" t="s">
        <v>0</v>
      </c>
      <c r="I2" s="27" t="str">
        <f>IF(I32=0,F32,I32)</f>
        <v>Foothill</v>
      </c>
      <c r="J2" s="28"/>
      <c r="K2" s="29"/>
      <c r="L2" s="32"/>
      <c r="M2" s="32"/>
      <c r="N2" s="32"/>
      <c r="O2" s="18"/>
      <c r="P2" s="2"/>
      <c r="Q2" s="32"/>
      <c r="R2" s="32"/>
      <c r="S2" s="32"/>
    </row>
    <row r="3" spans="1:19" ht="15.75" thickBot="1">
      <c r="A3" s="1"/>
      <c r="B3" s="1"/>
      <c r="C3" s="1"/>
      <c r="D3" s="1"/>
      <c r="E3" s="1"/>
      <c r="F3" s="1"/>
      <c r="G3" s="32"/>
      <c r="H3" s="32"/>
      <c r="I3" s="32"/>
      <c r="J3" s="32"/>
      <c r="K3" s="32"/>
      <c r="L3" s="32"/>
      <c r="M3" s="32"/>
      <c r="N3" s="32"/>
      <c r="O3" s="18"/>
      <c r="P3" s="2"/>
      <c r="Q3" s="32"/>
      <c r="R3" s="32"/>
      <c r="S3" s="32"/>
    </row>
    <row r="4" spans="1:19" ht="15.75" thickBot="1">
      <c r="A4" s="1"/>
      <c r="B4" s="1"/>
      <c r="C4" s="1"/>
      <c r="D4" s="1"/>
      <c r="E4" s="1"/>
      <c r="F4" s="1"/>
      <c r="G4" s="32"/>
      <c r="H4" s="32"/>
      <c r="I4" s="32" t="s">
        <v>1</v>
      </c>
      <c r="J4" s="3">
        <f>I31</f>
        <v>40</v>
      </c>
      <c r="K4" s="32"/>
      <c r="L4" s="14"/>
      <c r="M4" s="32"/>
      <c r="N4" s="32"/>
      <c r="O4" s="18"/>
      <c r="P4" s="2"/>
      <c r="Q4" s="32"/>
      <c r="R4" s="32"/>
      <c r="S4" s="32"/>
    </row>
    <row r="5" spans="1:19">
      <c r="A5" s="1"/>
      <c r="B5" s="1"/>
      <c r="C5" s="1"/>
      <c r="D5" s="1"/>
      <c r="E5" s="1"/>
      <c r="F5" s="1"/>
      <c r="G5" s="32"/>
      <c r="H5" s="32"/>
      <c r="I5" s="32"/>
      <c r="J5" s="32"/>
      <c r="K5" s="32"/>
      <c r="L5" s="14"/>
      <c r="M5" s="32"/>
      <c r="N5" s="32"/>
      <c r="O5" s="18"/>
      <c r="P5" s="4"/>
      <c r="Q5" s="5"/>
      <c r="R5" s="2"/>
      <c r="S5" s="32"/>
    </row>
    <row r="6" spans="1:19">
      <c r="A6" s="1"/>
      <c r="B6" s="1"/>
      <c r="C6" s="1"/>
      <c r="D6" s="1"/>
      <c r="E6" s="1"/>
      <c r="F6" s="1"/>
      <c r="G6" s="24"/>
      <c r="H6" s="32" t="s">
        <v>2</v>
      </c>
      <c r="I6" s="6">
        <f>J29</f>
        <v>1</v>
      </c>
      <c r="J6" s="6">
        <f>I29</f>
        <v>3</v>
      </c>
      <c r="K6" s="6">
        <f>H29</f>
        <v>1</v>
      </c>
      <c r="L6" s="7"/>
      <c r="M6" s="32"/>
      <c r="N6" s="32"/>
      <c r="O6" s="5"/>
      <c r="P6" s="14"/>
      <c r="Q6" s="8"/>
      <c r="R6" s="32"/>
      <c r="S6" s="32"/>
    </row>
    <row r="7" spans="1:19">
      <c r="A7" s="1"/>
      <c r="B7" s="1"/>
      <c r="C7" s="1"/>
      <c r="D7" s="1"/>
      <c r="E7" s="1"/>
      <c r="F7" s="1"/>
      <c r="G7" s="24"/>
      <c r="H7" s="32" t="s">
        <v>3</v>
      </c>
      <c r="I7" s="9">
        <f>J30</f>
        <v>204</v>
      </c>
      <c r="J7" s="9">
        <f>I30</f>
        <v>2387</v>
      </c>
      <c r="K7" s="9">
        <f>H30</f>
        <v>73</v>
      </c>
      <c r="L7" s="21"/>
      <c r="M7" s="21"/>
      <c r="N7" s="32"/>
      <c r="O7" s="18"/>
      <c r="P7" s="10"/>
      <c r="Q7" s="32"/>
      <c r="R7" s="32"/>
      <c r="S7" s="32"/>
    </row>
    <row r="8" spans="1:19">
      <c r="A8" s="1"/>
      <c r="B8" s="1"/>
      <c r="C8" s="1"/>
      <c r="D8" s="1"/>
      <c r="E8" s="32"/>
      <c r="F8" s="19"/>
      <c r="G8" s="19"/>
      <c r="H8" s="32"/>
      <c r="I8" s="32"/>
      <c r="J8" s="32"/>
      <c r="K8" s="32"/>
      <c r="L8" s="21"/>
      <c r="M8" s="21"/>
      <c r="N8" s="32"/>
      <c r="O8" s="19"/>
      <c r="P8" s="10"/>
      <c r="Q8" s="32"/>
      <c r="R8" s="32"/>
      <c r="S8" s="32"/>
    </row>
    <row r="9" spans="1:19">
      <c r="A9" s="1"/>
      <c r="B9" s="1"/>
      <c r="C9" s="1"/>
      <c r="D9" s="1"/>
      <c r="E9" s="32"/>
      <c r="F9" s="19"/>
      <c r="G9" s="19"/>
      <c r="H9" s="32"/>
      <c r="I9" s="32"/>
      <c r="J9" s="32"/>
      <c r="K9" s="32"/>
      <c r="L9" s="7"/>
      <c r="M9" s="11"/>
      <c r="N9" s="32"/>
      <c r="O9" s="12"/>
      <c r="P9" s="13"/>
      <c r="Q9" s="32"/>
      <c r="R9" s="32"/>
      <c r="S9" s="32"/>
    </row>
    <row r="10" spans="1:19">
      <c r="A10" s="32"/>
      <c r="B10" s="32"/>
      <c r="C10" s="32"/>
      <c r="D10" s="32"/>
      <c r="E10" s="32"/>
      <c r="F10" s="7"/>
      <c r="G10" s="32"/>
      <c r="H10" s="32"/>
      <c r="I10" s="32"/>
      <c r="J10" s="32"/>
      <c r="K10" s="32"/>
      <c r="L10" s="32"/>
      <c r="M10" s="24"/>
      <c r="N10" s="24"/>
      <c r="O10" s="32"/>
      <c r="P10" s="32"/>
      <c r="Q10" s="32"/>
      <c r="R10" s="32"/>
      <c r="S10" s="32"/>
    </row>
    <row r="11" spans="1:19">
      <c r="A11" s="32"/>
      <c r="B11" s="32"/>
      <c r="C11" s="32"/>
      <c r="D11" s="32"/>
      <c r="E11" s="32"/>
      <c r="F11" s="32" t="s">
        <v>2</v>
      </c>
      <c r="G11" s="32" t="s">
        <v>3</v>
      </c>
      <c r="H11" s="32"/>
      <c r="I11" s="32"/>
      <c r="J11" s="32"/>
      <c r="K11" s="32"/>
      <c r="L11" s="32"/>
      <c r="M11" s="32" t="str">
        <f>G11</f>
        <v>Volume</v>
      </c>
      <c r="N11" s="32" t="str">
        <f>F11</f>
        <v>No lanes</v>
      </c>
      <c r="O11" s="32"/>
      <c r="P11" s="32"/>
      <c r="Q11" s="32"/>
      <c r="R11" s="32"/>
      <c r="S11" s="32"/>
    </row>
    <row r="12" spans="1:19" ht="15.75" thickBot="1">
      <c r="A12" s="33" t="s">
        <v>0</v>
      </c>
      <c r="B12" s="33"/>
      <c r="C12" s="32"/>
      <c r="D12" s="32" t="s">
        <v>4</v>
      </c>
      <c r="E12" s="32"/>
      <c r="F12" s="6">
        <f>K29</f>
        <v>1</v>
      </c>
      <c r="G12" s="9">
        <f>K30</f>
        <v>93</v>
      </c>
      <c r="H12" s="32"/>
      <c r="I12" s="32"/>
      <c r="J12" s="32"/>
      <c r="K12" s="32"/>
      <c r="L12" s="32"/>
      <c r="M12" s="9">
        <f>P30</f>
        <v>42</v>
      </c>
      <c r="N12" s="6">
        <f>P29</f>
        <v>1</v>
      </c>
      <c r="O12" s="32"/>
      <c r="P12" s="32" t="s">
        <v>5</v>
      </c>
      <c r="Q12" s="32"/>
      <c r="R12" s="33" t="s">
        <v>0</v>
      </c>
      <c r="S12" s="33"/>
    </row>
    <row r="13" spans="1:19" ht="15.75" thickBot="1">
      <c r="A13" s="27" t="str">
        <f>IF(L32=0,O32,L32)</f>
        <v>Sunnyside</v>
      </c>
      <c r="B13" s="29"/>
      <c r="C13" s="32"/>
      <c r="D13" s="3">
        <f>L31</f>
        <v>35</v>
      </c>
      <c r="E13" s="32"/>
      <c r="F13" s="11"/>
      <c r="G13" s="11"/>
      <c r="H13" s="32"/>
      <c r="I13" s="32"/>
      <c r="J13" s="32"/>
      <c r="K13" s="32"/>
      <c r="L13" s="32"/>
      <c r="M13" s="11"/>
      <c r="N13" s="11"/>
      <c r="O13" s="32"/>
      <c r="P13" s="3">
        <f>O31</f>
        <v>35</v>
      </c>
      <c r="Q13" s="32"/>
      <c r="R13" s="27" t="str">
        <f>IF(O32=0,L32,O32)</f>
        <v>Sunnyside</v>
      </c>
      <c r="S13" s="29"/>
    </row>
    <row r="14" spans="1:19">
      <c r="A14" s="32"/>
      <c r="B14" s="32"/>
      <c r="C14" s="32"/>
      <c r="D14" s="32"/>
      <c r="E14" s="32"/>
      <c r="F14" s="6">
        <f>L29</f>
        <v>2</v>
      </c>
      <c r="G14" s="9">
        <f>L30</f>
        <v>170</v>
      </c>
      <c r="H14" s="32"/>
      <c r="I14" s="32"/>
      <c r="J14" s="32"/>
      <c r="K14" s="32"/>
      <c r="L14" s="32"/>
      <c r="M14" s="9">
        <f>O30</f>
        <v>482</v>
      </c>
      <c r="N14" s="6">
        <f>O29</f>
        <v>2</v>
      </c>
      <c r="O14" s="32"/>
      <c r="P14" s="32"/>
      <c r="Q14" s="32"/>
      <c r="R14" s="32"/>
      <c r="S14" s="32"/>
    </row>
    <row r="15" spans="1:19">
      <c r="A15" s="32"/>
      <c r="B15" s="32"/>
      <c r="C15" s="32"/>
      <c r="D15" s="14"/>
      <c r="E15" s="32"/>
      <c r="F15" s="11"/>
      <c r="G15" s="11"/>
      <c r="H15" s="32"/>
      <c r="I15" s="32"/>
      <c r="J15" s="32"/>
      <c r="K15" s="32"/>
      <c r="L15" s="32"/>
      <c r="M15" s="11"/>
      <c r="N15" s="11"/>
      <c r="O15" s="32"/>
      <c r="P15" s="14"/>
      <c r="Q15" s="32"/>
      <c r="R15" s="32"/>
      <c r="S15" s="32"/>
    </row>
    <row r="16" spans="1:19">
      <c r="A16" s="32"/>
      <c r="B16" s="32"/>
      <c r="C16" s="32"/>
      <c r="D16" s="14"/>
      <c r="E16" s="32"/>
      <c r="F16" s="6">
        <f>M29</f>
        <v>1</v>
      </c>
      <c r="G16" s="9">
        <f>M30</f>
        <v>213</v>
      </c>
      <c r="H16" s="32"/>
      <c r="I16" s="32"/>
      <c r="J16" s="32"/>
      <c r="K16" s="32"/>
      <c r="L16" s="32"/>
      <c r="M16" s="9">
        <f>N30</f>
        <v>651</v>
      </c>
      <c r="N16" s="6">
        <f>N29</f>
        <v>1</v>
      </c>
      <c r="O16" s="32"/>
      <c r="P16" s="14"/>
      <c r="Q16" s="32"/>
      <c r="R16" s="32"/>
      <c r="S16" s="32"/>
    </row>
    <row r="17" spans="1:19">
      <c r="A17" s="32"/>
      <c r="B17" s="32"/>
      <c r="C17" s="32"/>
      <c r="D17" s="32"/>
      <c r="E17" s="32"/>
      <c r="F17" s="14"/>
      <c r="G17" s="14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</row>
    <row r="18" spans="1:19">
      <c r="A18" s="32"/>
      <c r="B18" s="32"/>
      <c r="C18" s="32"/>
      <c r="D18" s="7"/>
      <c r="E18" s="32"/>
      <c r="F18" s="32"/>
      <c r="G18" s="32"/>
      <c r="H18" s="32"/>
      <c r="I18" s="32"/>
      <c r="J18" s="32"/>
      <c r="K18" s="32"/>
      <c r="L18" s="32"/>
      <c r="M18" s="23"/>
      <c r="N18" s="23"/>
      <c r="O18" s="32"/>
      <c r="P18" s="7"/>
      <c r="Q18" s="32"/>
      <c r="R18" s="32"/>
      <c r="S18" s="32"/>
    </row>
    <row r="19" spans="1:19">
      <c r="A19" s="32"/>
      <c r="B19" s="14"/>
      <c r="C19" s="14"/>
      <c r="D19" s="14"/>
      <c r="E19" s="14"/>
      <c r="F19" s="32"/>
      <c r="G19" s="32"/>
      <c r="H19" s="32"/>
      <c r="I19" s="32"/>
      <c r="J19" s="32"/>
      <c r="K19" s="32"/>
      <c r="L19" s="32"/>
      <c r="M19" s="21"/>
      <c r="N19" s="21"/>
      <c r="O19" s="32"/>
      <c r="P19" s="32"/>
      <c r="Q19" s="32"/>
      <c r="R19" s="32"/>
      <c r="S19" s="32"/>
    </row>
    <row r="20" spans="1:19">
      <c r="A20" s="32"/>
      <c r="B20" s="16"/>
      <c r="C20" s="16"/>
      <c r="D20" s="16"/>
      <c r="E20" s="16"/>
      <c r="F20" s="32"/>
      <c r="G20" s="32"/>
      <c r="H20" s="32"/>
      <c r="I20" s="32"/>
      <c r="J20" s="32"/>
      <c r="K20" s="32"/>
      <c r="L20" s="32"/>
      <c r="M20" s="7"/>
      <c r="N20" s="32"/>
      <c r="O20" s="14"/>
      <c r="P20" s="14"/>
      <c r="Q20" s="32"/>
      <c r="R20" s="32"/>
      <c r="S20" s="32"/>
    </row>
    <row r="21" spans="1:19">
      <c r="A21" s="32"/>
      <c r="B21" s="17"/>
      <c r="C21" s="17"/>
      <c r="D21" s="17"/>
      <c r="E21" s="17"/>
      <c r="F21" s="32"/>
      <c r="G21" s="32"/>
      <c r="H21" s="32" t="str">
        <f>H7</f>
        <v>Volume</v>
      </c>
      <c r="I21" s="9">
        <f>E30</f>
        <v>193</v>
      </c>
      <c r="J21" s="9">
        <f t="shared" ref="J21:K21" si="0">F30</f>
        <v>845</v>
      </c>
      <c r="K21" s="9">
        <f t="shared" si="0"/>
        <v>63</v>
      </c>
      <c r="L21" s="14"/>
      <c r="M21" s="14"/>
      <c r="N21" s="32"/>
      <c r="O21" s="14"/>
      <c r="P21" s="14"/>
      <c r="Q21" s="32"/>
      <c r="R21" s="32"/>
      <c r="S21" s="32"/>
    </row>
    <row r="22" spans="1:19">
      <c r="A22" s="32"/>
      <c r="B22" s="32"/>
      <c r="C22" s="32"/>
      <c r="D22" s="32"/>
      <c r="E22" s="32"/>
      <c r="F22" s="32"/>
      <c r="G22" s="32"/>
      <c r="H22" s="32" t="str">
        <f>H6</f>
        <v>No lanes</v>
      </c>
      <c r="I22" s="6">
        <f>E29</f>
        <v>1</v>
      </c>
      <c r="J22" s="6">
        <f t="shared" ref="J22:K22" si="1">F29</f>
        <v>3</v>
      </c>
      <c r="K22" s="6">
        <f t="shared" si="1"/>
        <v>1</v>
      </c>
      <c r="L22" s="14"/>
      <c r="M22" s="14"/>
      <c r="N22" s="32"/>
      <c r="O22" s="15"/>
      <c r="P22" s="15"/>
      <c r="Q22" s="32"/>
      <c r="R22" s="32"/>
      <c r="S22" s="32"/>
    </row>
    <row r="23" spans="1:19" ht="15.75" thickBot="1">
      <c r="A23" s="32"/>
      <c r="B23" s="32"/>
      <c r="C23" s="32"/>
      <c r="D23" s="32"/>
      <c r="E23" s="32"/>
      <c r="F23" s="19"/>
      <c r="G23" s="19"/>
      <c r="H23" s="32"/>
      <c r="I23" s="32"/>
      <c r="J23" s="32"/>
      <c r="K23" s="32"/>
      <c r="L23" s="32"/>
      <c r="M23" s="20"/>
      <c r="N23" s="32"/>
      <c r="O23" s="15"/>
      <c r="P23" s="15"/>
      <c r="Q23" s="32"/>
      <c r="R23" s="32"/>
      <c r="S23" s="32"/>
    </row>
    <row r="24" spans="1:19" ht="15.75" thickBot="1">
      <c r="A24" s="32"/>
      <c r="B24" s="32"/>
      <c r="C24" s="32"/>
      <c r="D24" s="32"/>
      <c r="E24" s="32"/>
      <c r="F24" s="19"/>
      <c r="G24" s="19"/>
      <c r="H24" s="32"/>
      <c r="I24" s="32" t="s">
        <v>6</v>
      </c>
      <c r="J24" s="3">
        <f>F31</f>
        <v>40</v>
      </c>
      <c r="K24" s="32"/>
      <c r="L24" s="32"/>
      <c r="M24" s="7"/>
      <c r="N24" s="32"/>
      <c r="O24" s="15"/>
      <c r="P24" s="15"/>
      <c r="Q24" s="32"/>
      <c r="R24" s="32"/>
      <c r="S24" s="32"/>
    </row>
    <row r="25" spans="1:19" ht="15.75" thickBot="1">
      <c r="A25" s="32"/>
      <c r="B25" s="32"/>
      <c r="C25" s="32"/>
      <c r="D25" s="32"/>
      <c r="E25" s="32"/>
      <c r="F25" s="7"/>
      <c r="G25" s="32"/>
      <c r="H25" s="32"/>
      <c r="I25" s="32"/>
      <c r="J25" s="32"/>
      <c r="K25" s="32"/>
      <c r="L25" s="32"/>
      <c r="M25" s="32"/>
      <c r="N25" s="32"/>
      <c r="O25" s="15"/>
      <c r="P25" s="15"/>
      <c r="Q25" s="32"/>
      <c r="R25" s="32"/>
      <c r="S25" s="32"/>
    </row>
    <row r="26" spans="1:19" ht="15.75" thickBot="1">
      <c r="A26" s="32"/>
      <c r="B26" s="32"/>
      <c r="C26" s="32"/>
      <c r="D26" s="32"/>
      <c r="E26" s="32"/>
      <c r="F26" s="32"/>
      <c r="G26" s="32"/>
      <c r="H26" s="32" t="s">
        <v>0</v>
      </c>
      <c r="I26" s="27" t="str">
        <f>IF(F32=0,I32,F32)</f>
        <v>2100 East</v>
      </c>
      <c r="J26" s="28"/>
      <c r="K26" s="29"/>
      <c r="L26" s="32"/>
      <c r="M26" s="32"/>
      <c r="N26" s="32"/>
      <c r="O26" s="15"/>
      <c r="P26" s="15"/>
      <c r="Q26" s="32"/>
      <c r="R26" s="32"/>
      <c r="S26" s="32"/>
    </row>
    <row r="27" spans="1:19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</row>
    <row r="28" spans="1:19">
      <c r="A28" s="24"/>
      <c r="B28" s="24"/>
      <c r="C28" s="24"/>
      <c r="D28" s="24"/>
      <c r="E28" s="26" t="s">
        <v>7</v>
      </c>
      <c r="F28" s="26" t="s">
        <v>8</v>
      </c>
      <c r="G28" s="26" t="s">
        <v>9</v>
      </c>
      <c r="H28" s="26" t="s">
        <v>10</v>
      </c>
      <c r="I28" s="26" t="s">
        <v>11</v>
      </c>
      <c r="J28" s="26" t="s">
        <v>12</v>
      </c>
      <c r="K28" s="26" t="s">
        <v>13</v>
      </c>
      <c r="L28" s="26" t="s">
        <v>14</v>
      </c>
      <c r="M28" s="26" t="s">
        <v>15</v>
      </c>
      <c r="N28" s="26" t="s">
        <v>16</v>
      </c>
      <c r="O28" s="26" t="s">
        <v>17</v>
      </c>
      <c r="P28" s="26" t="s">
        <v>18</v>
      </c>
      <c r="Q28" s="24"/>
      <c r="R28" s="24"/>
      <c r="S28" s="24"/>
    </row>
    <row r="29" spans="1:19">
      <c r="A29" s="24"/>
      <c r="B29" s="24"/>
      <c r="C29" s="24"/>
      <c r="D29" s="24" t="s">
        <v>19</v>
      </c>
      <c r="E29">
        <v>1</v>
      </c>
      <c r="F29">
        <v>3</v>
      </c>
      <c r="G29">
        <v>1</v>
      </c>
      <c r="H29">
        <v>1</v>
      </c>
      <c r="I29">
        <v>3</v>
      </c>
      <c r="J29">
        <v>1</v>
      </c>
      <c r="K29">
        <v>1</v>
      </c>
      <c r="L29">
        <v>2</v>
      </c>
      <c r="M29">
        <v>1</v>
      </c>
      <c r="N29">
        <v>1</v>
      </c>
      <c r="O29">
        <v>2</v>
      </c>
      <c r="P29">
        <v>1</v>
      </c>
      <c r="Q29" s="24"/>
      <c r="R29" s="24"/>
      <c r="S29" s="24"/>
    </row>
    <row r="30" spans="1:19">
      <c r="A30" s="24"/>
      <c r="B30" s="24"/>
      <c r="C30" s="24"/>
      <c r="D30" s="24" t="s">
        <v>3</v>
      </c>
      <c r="E30">
        <v>193</v>
      </c>
      <c r="F30">
        <v>845</v>
      </c>
      <c r="G30">
        <v>63</v>
      </c>
      <c r="H30">
        <v>73</v>
      </c>
      <c r="I30">
        <v>2387</v>
      </c>
      <c r="J30">
        <v>204</v>
      </c>
      <c r="K30">
        <v>93</v>
      </c>
      <c r="L30">
        <v>170</v>
      </c>
      <c r="M30">
        <v>213</v>
      </c>
      <c r="N30">
        <v>651</v>
      </c>
      <c r="O30">
        <v>482</v>
      </c>
      <c r="P30">
        <v>42</v>
      </c>
      <c r="Q30" s="24"/>
      <c r="R30" s="24"/>
      <c r="S30" s="24"/>
    </row>
    <row r="31" spans="1:19">
      <c r="A31" s="24"/>
      <c r="B31" s="24"/>
      <c r="C31" s="24"/>
      <c r="D31" s="24" t="s">
        <v>20</v>
      </c>
      <c r="E31">
        <v>40</v>
      </c>
      <c r="F31">
        <v>40</v>
      </c>
      <c r="G31">
        <v>40</v>
      </c>
      <c r="H31">
        <v>40</v>
      </c>
      <c r="I31">
        <v>40</v>
      </c>
      <c r="J31">
        <v>40</v>
      </c>
      <c r="K31">
        <v>40</v>
      </c>
      <c r="L31">
        <v>35</v>
      </c>
      <c r="M31">
        <v>40</v>
      </c>
      <c r="N31">
        <v>40</v>
      </c>
      <c r="O31">
        <v>35</v>
      </c>
      <c r="P31">
        <v>40</v>
      </c>
      <c r="Q31" s="24"/>
      <c r="R31" s="24"/>
      <c r="S31" s="24"/>
    </row>
    <row r="32" spans="1:19">
      <c r="A32" s="24"/>
      <c r="B32" s="24"/>
      <c r="C32" s="24"/>
      <c r="D32" s="24" t="s">
        <v>21</v>
      </c>
      <c r="E32" t="s">
        <v>26</v>
      </c>
      <c r="F32" t="s">
        <v>26</v>
      </c>
      <c r="G32" t="s">
        <v>26</v>
      </c>
      <c r="H32" t="s">
        <v>27</v>
      </c>
      <c r="I32" t="s">
        <v>27</v>
      </c>
      <c r="J32" t="s">
        <v>27</v>
      </c>
      <c r="K32" t="s">
        <v>28</v>
      </c>
      <c r="L32" t="s">
        <v>28</v>
      </c>
      <c r="M32" t="s">
        <v>28</v>
      </c>
      <c r="N32" t="s">
        <v>28</v>
      </c>
      <c r="O32" t="s">
        <v>28</v>
      </c>
      <c r="P32" t="s">
        <v>28</v>
      </c>
      <c r="Q32" s="24"/>
      <c r="R32" s="24"/>
      <c r="S32" s="24"/>
    </row>
  </sheetData>
  <mergeCells count="2">
    <mergeCell ref="A12:B12"/>
    <mergeCell ref="R12:S12"/>
  </mergeCells>
  <conditionalFormatting sqref="P8:P9">
    <cfRule type="containsText" dxfId="11" priority="3" stopIfTrue="1" operator="containsText" text="CS/RS">
      <formula>NOT(ISERROR(SEARCH("CS/RS",P8)))</formula>
    </cfRule>
    <cfRule type="containsText" dxfId="10" priority="4" stopIfTrue="1" operator="containsText" text="Webster">
      <formula>NOT(ISERROR(SEARCH("Webster",P8)))</formula>
    </cfRule>
  </conditionalFormatting>
  <conditionalFormatting sqref="F8:G8 F23:G23 L7:M7 M18:N18">
    <cfRule type="containsText" dxfId="9" priority="2" stopIfTrue="1" operator="containsText" text="LT">
      <formula>NOT(ISERROR(SEARCH("LT",F7)))</formula>
    </cfRule>
  </conditionalFormatting>
  <conditionalFormatting sqref="F9:G9 F24:G24 M19:N19 L8:M8">
    <cfRule type="containsText" dxfId="8" priority="1" stopIfTrue="1" operator="containsText" text="P">
      <formula>NOT(ISERROR(SEARCH("P",F8)))</formula>
    </cfRule>
  </conditionalFormatting>
  <dataValidations count="2">
    <dataValidation type="list" allowBlank="1" showInputMessage="1" showErrorMessage="1" sqref="M22 B21 D16 L5">
      <formula1>$U$10:$V$10</formula1>
    </dataValidation>
    <dataValidation type="list" allowBlank="1" showInputMessage="1" showErrorMessage="1" sqref="P6">
      <formula1>$U$17:$U$18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32"/>
  <sheetViews>
    <sheetView workbookViewId="0"/>
  </sheetViews>
  <sheetFormatPr defaultRowHeight="15"/>
  <sheetData>
    <row r="1" spans="1:19" ht="15.75" thickBot="1">
      <c r="A1" s="1">
        <v>4031</v>
      </c>
      <c r="B1" s="1" t="str">
        <f>I26&amp;" &amp; "&amp;R13</f>
        <v>Foothill &amp; Wakara</v>
      </c>
      <c r="C1" s="1"/>
      <c r="D1" s="1"/>
      <c r="E1" s="32"/>
      <c r="F1" s="32"/>
      <c r="G1" s="32"/>
      <c r="H1" s="32"/>
      <c r="I1" s="32"/>
      <c r="J1" s="32"/>
      <c r="K1" s="32"/>
      <c r="L1" s="32"/>
      <c r="M1" s="32"/>
      <c r="N1" s="24"/>
      <c r="O1" s="24"/>
      <c r="P1" s="24"/>
      <c r="Q1" s="24"/>
      <c r="R1" s="24"/>
      <c r="S1" s="24"/>
    </row>
    <row r="2" spans="1:19" ht="15.75" thickBot="1">
      <c r="A2" s="25"/>
      <c r="B2" s="1"/>
      <c r="C2" s="1"/>
      <c r="D2" s="1"/>
      <c r="E2" s="1"/>
      <c r="F2" s="1"/>
      <c r="G2" s="32"/>
      <c r="H2" s="32" t="s">
        <v>0</v>
      </c>
      <c r="I2" s="27" t="str">
        <f>IF(I32=0,F32,I32)</f>
        <v>Foothill</v>
      </c>
      <c r="J2" s="28"/>
      <c r="K2" s="29"/>
      <c r="L2" s="32"/>
      <c r="M2" s="32"/>
      <c r="N2" s="32"/>
      <c r="O2" s="18"/>
      <c r="P2" s="2"/>
      <c r="Q2" s="32"/>
      <c r="R2" s="32"/>
      <c r="S2" s="32"/>
    </row>
    <row r="3" spans="1:19" ht="15.75" thickBot="1">
      <c r="A3" s="1"/>
      <c r="B3" s="1"/>
      <c r="C3" s="1"/>
      <c r="D3" s="1"/>
      <c r="E3" s="1"/>
      <c r="F3" s="1"/>
      <c r="G3" s="32"/>
      <c r="H3" s="32"/>
      <c r="I3" s="32"/>
      <c r="J3" s="32"/>
      <c r="K3" s="32"/>
      <c r="L3" s="32"/>
      <c r="M3" s="32"/>
      <c r="N3" s="32"/>
      <c r="O3" s="18"/>
      <c r="P3" s="2"/>
      <c r="Q3" s="32"/>
      <c r="R3" s="32"/>
      <c r="S3" s="32"/>
    </row>
    <row r="4" spans="1:19" ht="15.75" thickBot="1">
      <c r="A4" s="1"/>
      <c r="B4" s="1"/>
      <c r="C4" s="1"/>
      <c r="D4" s="1"/>
      <c r="E4" s="1"/>
      <c r="F4" s="1"/>
      <c r="G4" s="32"/>
      <c r="H4" s="32"/>
      <c r="I4" s="32" t="s">
        <v>1</v>
      </c>
      <c r="J4" s="3">
        <f>I31</f>
        <v>40</v>
      </c>
      <c r="K4" s="32"/>
      <c r="L4" s="14"/>
      <c r="M4" s="32"/>
      <c r="N4" s="32"/>
      <c r="O4" s="18"/>
      <c r="P4" s="2"/>
      <c r="Q4" s="32"/>
      <c r="R4" s="32"/>
      <c r="S4" s="32"/>
    </row>
    <row r="5" spans="1:19">
      <c r="A5" s="1"/>
      <c r="B5" s="1"/>
      <c r="C5" s="1"/>
      <c r="D5" s="1"/>
      <c r="E5" s="1"/>
      <c r="F5" s="1"/>
      <c r="G5" s="32"/>
      <c r="H5" s="32"/>
      <c r="I5" s="32"/>
      <c r="J5" s="32"/>
      <c r="K5" s="32"/>
      <c r="L5" s="14"/>
      <c r="M5" s="32"/>
      <c r="N5" s="32"/>
      <c r="O5" s="18"/>
      <c r="P5" s="4"/>
      <c r="Q5" s="5"/>
      <c r="R5" s="2"/>
      <c r="S5" s="32"/>
    </row>
    <row r="6" spans="1:19">
      <c r="A6" s="1"/>
      <c r="B6" s="1"/>
      <c r="C6" s="1"/>
      <c r="D6" s="1"/>
      <c r="E6" s="1"/>
      <c r="F6" s="1"/>
      <c r="G6" s="24"/>
      <c r="H6" s="32" t="s">
        <v>2</v>
      </c>
      <c r="I6" s="6">
        <f>J29</f>
        <v>1</v>
      </c>
      <c r="J6" s="6">
        <f>I29</f>
        <v>3</v>
      </c>
      <c r="K6" s="6">
        <f>H29</f>
        <v>1</v>
      </c>
      <c r="L6" s="7"/>
      <c r="M6" s="32"/>
      <c r="N6" s="32"/>
      <c r="O6" s="5"/>
      <c r="P6" s="14"/>
      <c r="Q6" s="8"/>
      <c r="R6" s="32"/>
      <c r="S6" s="32"/>
    </row>
    <row r="7" spans="1:19">
      <c r="A7" s="1"/>
      <c r="B7" s="1"/>
      <c r="C7" s="1"/>
      <c r="D7" s="1"/>
      <c r="E7" s="1"/>
      <c r="F7" s="1"/>
      <c r="G7" s="24"/>
      <c r="H7" s="32" t="s">
        <v>3</v>
      </c>
      <c r="I7" s="9">
        <f>J30</f>
        <v>23</v>
      </c>
      <c r="J7" s="9">
        <f>I30</f>
        <v>1422</v>
      </c>
      <c r="K7" s="9">
        <f>H30</f>
        <v>124</v>
      </c>
      <c r="L7" s="21"/>
      <c r="M7" s="21"/>
      <c r="N7" s="32"/>
      <c r="O7" s="18"/>
      <c r="P7" s="10"/>
      <c r="Q7" s="32"/>
      <c r="R7" s="32"/>
      <c r="S7" s="32"/>
    </row>
    <row r="8" spans="1:19">
      <c r="A8" s="1"/>
      <c r="B8" s="1"/>
      <c r="C8" s="1"/>
      <c r="D8" s="1"/>
      <c r="E8" s="32"/>
      <c r="F8" s="19"/>
      <c r="G8" s="19"/>
      <c r="H8" s="32"/>
      <c r="I8" s="32"/>
      <c r="J8" s="32"/>
      <c r="K8" s="32"/>
      <c r="L8" s="21"/>
      <c r="M8" s="21"/>
      <c r="N8" s="32"/>
      <c r="O8" s="19"/>
      <c r="P8" s="10"/>
      <c r="Q8" s="32"/>
      <c r="R8" s="32"/>
      <c r="S8" s="32"/>
    </row>
    <row r="9" spans="1:19">
      <c r="A9" s="1"/>
      <c r="B9" s="1"/>
      <c r="C9" s="1"/>
      <c r="D9" s="1"/>
      <c r="E9" s="32"/>
      <c r="F9" s="19"/>
      <c r="G9" s="19"/>
      <c r="H9" s="32"/>
      <c r="I9" s="32"/>
      <c r="J9" s="32"/>
      <c r="K9" s="32"/>
      <c r="L9" s="7"/>
      <c r="M9" s="11"/>
      <c r="N9" s="32"/>
      <c r="O9" s="12"/>
      <c r="P9" s="13"/>
      <c r="Q9" s="32"/>
      <c r="R9" s="32"/>
      <c r="S9" s="32"/>
    </row>
    <row r="10" spans="1:19">
      <c r="A10" s="32"/>
      <c r="B10" s="32"/>
      <c r="C10" s="32"/>
      <c r="D10" s="32"/>
      <c r="E10" s="32"/>
      <c r="F10" s="7"/>
      <c r="G10" s="32"/>
      <c r="H10" s="32"/>
      <c r="I10" s="32"/>
      <c r="J10" s="32"/>
      <c r="K10" s="32"/>
      <c r="L10" s="32"/>
      <c r="M10" s="24"/>
      <c r="N10" s="24"/>
      <c r="O10" s="32"/>
      <c r="P10" s="32"/>
      <c r="Q10" s="32"/>
      <c r="R10" s="32"/>
      <c r="S10" s="32"/>
    </row>
    <row r="11" spans="1:19">
      <c r="A11" s="32"/>
      <c r="B11" s="32"/>
      <c r="C11" s="32"/>
      <c r="D11" s="32"/>
      <c r="E11" s="32"/>
      <c r="F11" s="32" t="s">
        <v>2</v>
      </c>
      <c r="G11" s="32" t="s">
        <v>3</v>
      </c>
      <c r="H11" s="32"/>
      <c r="I11" s="32"/>
      <c r="J11" s="32"/>
      <c r="K11" s="32"/>
      <c r="L11" s="32"/>
      <c r="M11" s="32" t="str">
        <f>G11</f>
        <v>Volume</v>
      </c>
      <c r="N11" s="32" t="str">
        <f>F11</f>
        <v>No lanes</v>
      </c>
      <c r="O11" s="32"/>
      <c r="P11" s="32"/>
      <c r="Q11" s="32"/>
      <c r="R11" s="32"/>
      <c r="S11" s="32"/>
    </row>
    <row r="12" spans="1:19" ht="15.75" thickBot="1">
      <c r="A12" s="33" t="s">
        <v>0</v>
      </c>
      <c r="B12" s="33"/>
      <c r="C12" s="32"/>
      <c r="D12" s="32" t="s">
        <v>4</v>
      </c>
      <c r="E12" s="32"/>
      <c r="F12" s="6">
        <f>K29</f>
        <v>1</v>
      </c>
      <c r="G12" s="9">
        <f>K30</f>
        <v>28</v>
      </c>
      <c r="H12" s="32"/>
      <c r="I12" s="32"/>
      <c r="J12" s="32"/>
      <c r="K12" s="32"/>
      <c r="L12" s="32"/>
      <c r="M12" s="9">
        <f>P30</f>
        <v>560</v>
      </c>
      <c r="N12" s="6">
        <f>P29</f>
        <v>1</v>
      </c>
      <c r="O12" s="32"/>
      <c r="P12" s="32" t="s">
        <v>5</v>
      </c>
      <c r="Q12" s="32"/>
      <c r="R12" s="33" t="s">
        <v>0</v>
      </c>
      <c r="S12" s="33"/>
    </row>
    <row r="13" spans="1:19" ht="15.75" thickBot="1">
      <c r="A13" s="27" t="str">
        <f>IF(L32=0,O32,L32)</f>
        <v>Wakara</v>
      </c>
      <c r="B13" s="29"/>
      <c r="C13" s="32"/>
      <c r="D13" s="3">
        <f>L31</f>
        <v>25</v>
      </c>
      <c r="E13" s="32"/>
      <c r="F13" s="11"/>
      <c r="G13" s="11"/>
      <c r="H13" s="32"/>
      <c r="I13" s="32"/>
      <c r="J13" s="32"/>
      <c r="K13" s="32"/>
      <c r="L13" s="32"/>
      <c r="M13" s="11"/>
      <c r="N13" s="11"/>
      <c r="O13" s="32"/>
      <c r="P13" s="3">
        <f>O31</f>
        <v>30</v>
      </c>
      <c r="Q13" s="32"/>
      <c r="R13" s="27" t="str">
        <f>IF(O32=0,L32,O32)</f>
        <v>Wakara</v>
      </c>
      <c r="S13" s="29"/>
    </row>
    <row r="14" spans="1:19">
      <c r="A14" s="32"/>
      <c r="B14" s="32"/>
      <c r="C14" s="32"/>
      <c r="D14" s="32"/>
      <c r="E14" s="32"/>
      <c r="F14" s="6">
        <f>L29</f>
        <v>2</v>
      </c>
      <c r="G14" s="9">
        <f>L30</f>
        <v>0</v>
      </c>
      <c r="H14" s="32"/>
      <c r="I14" s="32"/>
      <c r="J14" s="32"/>
      <c r="K14" s="32"/>
      <c r="L14" s="32"/>
      <c r="M14" s="9">
        <f>O30</f>
        <v>1</v>
      </c>
      <c r="N14" s="6">
        <f>O29</f>
        <v>3</v>
      </c>
      <c r="O14" s="32"/>
      <c r="P14" s="32"/>
      <c r="Q14" s="32"/>
      <c r="R14" s="32"/>
      <c r="S14" s="32"/>
    </row>
    <row r="15" spans="1:19">
      <c r="A15" s="32"/>
      <c r="B15" s="32"/>
      <c r="C15" s="32"/>
      <c r="D15" s="14"/>
      <c r="E15" s="32"/>
      <c r="F15" s="11"/>
      <c r="G15" s="11"/>
      <c r="H15" s="32"/>
      <c r="I15" s="32"/>
      <c r="J15" s="32"/>
      <c r="K15" s="32"/>
      <c r="L15" s="32"/>
      <c r="M15" s="11"/>
      <c r="N15" s="11"/>
      <c r="O15" s="32"/>
      <c r="P15" s="14"/>
      <c r="Q15" s="32"/>
      <c r="R15" s="32"/>
      <c r="S15" s="32"/>
    </row>
    <row r="16" spans="1:19">
      <c r="A16" s="32"/>
      <c r="B16" s="32"/>
      <c r="C16" s="32"/>
      <c r="D16" s="14"/>
      <c r="E16" s="32"/>
      <c r="F16" s="6">
        <f>M29</f>
        <v>1</v>
      </c>
      <c r="G16" s="9">
        <f>M30</f>
        <v>97</v>
      </c>
      <c r="H16" s="32"/>
      <c r="I16" s="32"/>
      <c r="J16" s="32"/>
      <c r="K16" s="32"/>
      <c r="L16" s="32"/>
      <c r="M16" s="9">
        <f>N30</f>
        <v>803</v>
      </c>
      <c r="N16" s="6">
        <f>N29</f>
        <v>1</v>
      </c>
      <c r="O16" s="32"/>
      <c r="P16" s="14"/>
      <c r="Q16" s="32"/>
      <c r="R16" s="32"/>
      <c r="S16" s="32"/>
    </row>
    <row r="17" spans="1:19">
      <c r="A17" s="32"/>
      <c r="B17" s="32"/>
      <c r="C17" s="32"/>
      <c r="D17" s="32"/>
      <c r="E17" s="32"/>
      <c r="F17" s="14"/>
      <c r="G17" s="14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</row>
    <row r="18" spans="1:19">
      <c r="A18" s="32"/>
      <c r="B18" s="32"/>
      <c r="C18" s="32"/>
      <c r="D18" s="7"/>
      <c r="E18" s="32"/>
      <c r="F18" s="32"/>
      <c r="G18" s="32"/>
      <c r="H18" s="32"/>
      <c r="I18" s="32"/>
      <c r="J18" s="32"/>
      <c r="K18" s="32"/>
      <c r="L18" s="32"/>
      <c r="M18" s="23"/>
      <c r="N18" s="23"/>
      <c r="O18" s="32"/>
      <c r="P18" s="7"/>
      <c r="Q18" s="32"/>
      <c r="R18" s="32"/>
      <c r="S18" s="32"/>
    </row>
    <row r="19" spans="1:19">
      <c r="A19" s="32"/>
      <c r="B19" s="14"/>
      <c r="C19" s="14"/>
      <c r="D19" s="14"/>
      <c r="E19" s="14"/>
      <c r="F19" s="32"/>
      <c r="G19" s="32"/>
      <c r="H19" s="32"/>
      <c r="I19" s="32"/>
      <c r="J19" s="32"/>
      <c r="K19" s="32"/>
      <c r="L19" s="32"/>
      <c r="M19" s="21"/>
      <c r="N19" s="21"/>
      <c r="O19" s="32"/>
      <c r="P19" s="32"/>
      <c r="Q19" s="32"/>
      <c r="R19" s="32"/>
      <c r="S19" s="32"/>
    </row>
    <row r="20" spans="1:19">
      <c r="A20" s="32"/>
      <c r="B20" s="16"/>
      <c r="C20" s="16"/>
      <c r="D20" s="16"/>
      <c r="E20" s="16"/>
      <c r="F20" s="32"/>
      <c r="G20" s="32"/>
      <c r="H20" s="32"/>
      <c r="I20" s="32"/>
      <c r="J20" s="32"/>
      <c r="K20" s="32"/>
      <c r="L20" s="32"/>
      <c r="M20" s="7"/>
      <c r="N20" s="32"/>
      <c r="O20" s="14"/>
      <c r="P20" s="14"/>
      <c r="Q20" s="32"/>
      <c r="R20" s="32"/>
      <c r="S20" s="32"/>
    </row>
    <row r="21" spans="1:19">
      <c r="A21" s="32"/>
      <c r="B21" s="17"/>
      <c r="C21" s="17"/>
      <c r="D21" s="17"/>
      <c r="E21" s="17"/>
      <c r="F21" s="32"/>
      <c r="G21" s="32"/>
      <c r="H21" s="32" t="str">
        <f>H7</f>
        <v>Volume</v>
      </c>
      <c r="I21" s="9">
        <f>E30</f>
        <v>15</v>
      </c>
      <c r="J21" s="9">
        <f t="shared" ref="J21:K21" si="0">F30</f>
        <v>738</v>
      </c>
      <c r="K21" s="9">
        <f t="shared" si="0"/>
        <v>141</v>
      </c>
      <c r="L21" s="14"/>
      <c r="M21" s="14"/>
      <c r="N21" s="32"/>
      <c r="O21" s="14"/>
      <c r="P21" s="14"/>
      <c r="Q21" s="32"/>
      <c r="R21" s="32"/>
      <c r="S21" s="32"/>
    </row>
    <row r="22" spans="1:19">
      <c r="A22" s="32"/>
      <c r="B22" s="32"/>
      <c r="C22" s="32"/>
      <c r="D22" s="32"/>
      <c r="E22" s="32"/>
      <c r="F22" s="32"/>
      <c r="G22" s="32"/>
      <c r="H22" s="32" t="str">
        <f>H6</f>
        <v>No lanes</v>
      </c>
      <c r="I22" s="6">
        <f>E29</f>
        <v>1</v>
      </c>
      <c r="J22" s="6">
        <f t="shared" ref="J22:K22" si="1">F29</f>
        <v>3</v>
      </c>
      <c r="K22" s="6">
        <f t="shared" si="1"/>
        <v>1</v>
      </c>
      <c r="L22" s="14"/>
      <c r="M22" s="14"/>
      <c r="N22" s="32"/>
      <c r="O22" s="15"/>
      <c r="P22" s="15"/>
      <c r="Q22" s="32"/>
      <c r="R22" s="32"/>
      <c r="S22" s="32"/>
    </row>
    <row r="23" spans="1:19" ht="15.75" thickBot="1">
      <c r="A23" s="32"/>
      <c r="B23" s="32"/>
      <c r="C23" s="32"/>
      <c r="D23" s="32"/>
      <c r="E23" s="32"/>
      <c r="F23" s="19"/>
      <c r="G23" s="19"/>
      <c r="H23" s="32"/>
      <c r="I23" s="32"/>
      <c r="J23" s="32"/>
      <c r="K23" s="32"/>
      <c r="L23" s="32"/>
      <c r="M23" s="20"/>
      <c r="N23" s="32"/>
      <c r="O23" s="15"/>
      <c r="P23" s="15"/>
      <c r="Q23" s="32"/>
      <c r="R23" s="32"/>
      <c r="S23" s="32"/>
    </row>
    <row r="24" spans="1:19" ht="15.75" thickBot="1">
      <c r="A24" s="32"/>
      <c r="B24" s="32"/>
      <c r="C24" s="32"/>
      <c r="D24" s="32"/>
      <c r="E24" s="32"/>
      <c r="F24" s="19"/>
      <c r="G24" s="19"/>
      <c r="H24" s="32"/>
      <c r="I24" s="32" t="s">
        <v>6</v>
      </c>
      <c r="J24" s="3">
        <f>F31</f>
        <v>40</v>
      </c>
      <c r="K24" s="32"/>
      <c r="L24" s="32"/>
      <c r="M24" s="7"/>
      <c r="N24" s="32"/>
      <c r="O24" s="15"/>
      <c r="P24" s="15"/>
      <c r="Q24" s="32"/>
      <c r="R24" s="32"/>
      <c r="S24" s="32"/>
    </row>
    <row r="25" spans="1:19" ht="15.75" thickBot="1">
      <c r="A25" s="32"/>
      <c r="B25" s="32"/>
      <c r="C25" s="32"/>
      <c r="D25" s="32"/>
      <c r="E25" s="32"/>
      <c r="F25" s="7"/>
      <c r="G25" s="32"/>
      <c r="H25" s="32"/>
      <c r="I25" s="32"/>
      <c r="J25" s="32"/>
      <c r="K25" s="32"/>
      <c r="L25" s="32"/>
      <c r="M25" s="32"/>
      <c r="N25" s="32"/>
      <c r="O25" s="15"/>
      <c r="P25" s="15"/>
      <c r="Q25" s="32"/>
      <c r="R25" s="32"/>
      <c r="S25" s="32"/>
    </row>
    <row r="26" spans="1:19" ht="15.75" thickBot="1">
      <c r="A26" s="32"/>
      <c r="B26" s="32"/>
      <c r="C26" s="32"/>
      <c r="D26" s="32"/>
      <c r="E26" s="32"/>
      <c r="F26" s="32"/>
      <c r="G26" s="32"/>
      <c r="H26" s="32" t="s">
        <v>0</v>
      </c>
      <c r="I26" s="27" t="str">
        <f>IF(F32=0,I32,F32)</f>
        <v>Foothill</v>
      </c>
      <c r="J26" s="28"/>
      <c r="K26" s="29"/>
      <c r="L26" s="32"/>
      <c r="M26" s="32"/>
      <c r="N26" s="32"/>
      <c r="O26" s="15"/>
      <c r="P26" s="15"/>
      <c r="Q26" s="32"/>
      <c r="R26" s="32"/>
      <c r="S26" s="32"/>
    </row>
    <row r="27" spans="1:19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</row>
    <row r="28" spans="1:19">
      <c r="A28" s="24"/>
      <c r="B28" s="24"/>
      <c r="C28" s="24"/>
      <c r="D28" s="24"/>
      <c r="E28" s="26" t="s">
        <v>7</v>
      </c>
      <c r="F28" s="26" t="s">
        <v>8</v>
      </c>
      <c r="G28" s="26" t="s">
        <v>9</v>
      </c>
      <c r="H28" s="26" t="s">
        <v>10</v>
      </c>
      <c r="I28" s="26" t="s">
        <v>11</v>
      </c>
      <c r="J28" s="26" t="s">
        <v>12</v>
      </c>
      <c r="K28" s="26" t="s">
        <v>13</v>
      </c>
      <c r="L28" s="26" t="s">
        <v>14</v>
      </c>
      <c r="M28" s="26" t="s">
        <v>15</v>
      </c>
      <c r="N28" s="26" t="s">
        <v>16</v>
      </c>
      <c r="O28" s="26" t="s">
        <v>17</v>
      </c>
      <c r="P28" s="26" t="s">
        <v>18</v>
      </c>
      <c r="Q28" s="24"/>
      <c r="R28" s="24"/>
      <c r="S28" s="24"/>
    </row>
    <row r="29" spans="1:19">
      <c r="A29" s="24"/>
      <c r="B29" s="24"/>
      <c r="C29" s="24"/>
      <c r="D29" s="24" t="s">
        <v>19</v>
      </c>
      <c r="E29">
        <v>1</v>
      </c>
      <c r="F29">
        <v>3</v>
      </c>
      <c r="G29">
        <v>1</v>
      </c>
      <c r="H29">
        <v>1</v>
      </c>
      <c r="I29">
        <v>3</v>
      </c>
      <c r="J29">
        <v>1</v>
      </c>
      <c r="K29">
        <v>1</v>
      </c>
      <c r="L29">
        <v>2</v>
      </c>
      <c r="M29">
        <v>1</v>
      </c>
      <c r="N29">
        <v>1</v>
      </c>
      <c r="O29">
        <v>3</v>
      </c>
      <c r="P29">
        <v>1</v>
      </c>
      <c r="Q29" s="24"/>
      <c r="R29" s="24"/>
      <c r="S29" s="24"/>
    </row>
    <row r="30" spans="1:19">
      <c r="A30" s="24"/>
      <c r="B30" s="24"/>
      <c r="C30" s="24"/>
      <c r="D30" s="24" t="s">
        <v>3</v>
      </c>
      <c r="E30">
        <v>15</v>
      </c>
      <c r="F30">
        <v>738</v>
      </c>
      <c r="G30">
        <v>141</v>
      </c>
      <c r="H30">
        <v>124</v>
      </c>
      <c r="I30">
        <v>1422</v>
      </c>
      <c r="J30">
        <v>23</v>
      </c>
      <c r="K30">
        <v>28</v>
      </c>
      <c r="L30">
        <v>0</v>
      </c>
      <c r="M30">
        <v>97</v>
      </c>
      <c r="N30">
        <v>803</v>
      </c>
      <c r="O30">
        <v>1</v>
      </c>
      <c r="P30">
        <v>560</v>
      </c>
      <c r="Q30" s="24"/>
      <c r="R30" s="24"/>
      <c r="S30" s="24"/>
    </row>
    <row r="31" spans="1:19">
      <c r="A31" s="24"/>
      <c r="B31" s="24"/>
      <c r="C31" s="24"/>
      <c r="D31" s="24" t="s">
        <v>20</v>
      </c>
      <c r="E31">
        <v>40</v>
      </c>
      <c r="F31">
        <v>40</v>
      </c>
      <c r="G31">
        <v>40</v>
      </c>
      <c r="H31">
        <v>40</v>
      </c>
      <c r="I31">
        <v>40</v>
      </c>
      <c r="J31">
        <v>40</v>
      </c>
      <c r="K31">
        <v>40</v>
      </c>
      <c r="L31">
        <v>25</v>
      </c>
      <c r="M31">
        <v>40</v>
      </c>
      <c r="N31">
        <v>40</v>
      </c>
      <c r="O31">
        <v>30</v>
      </c>
      <c r="P31">
        <v>40</v>
      </c>
      <c r="Q31" s="24"/>
      <c r="R31" s="24"/>
      <c r="S31" s="24"/>
    </row>
    <row r="32" spans="1:19">
      <c r="A32" s="24"/>
      <c r="B32" s="24"/>
      <c r="C32" s="24"/>
      <c r="D32" s="24" t="s">
        <v>21</v>
      </c>
      <c r="E32" t="s">
        <v>27</v>
      </c>
      <c r="F32" t="s">
        <v>27</v>
      </c>
      <c r="G32" t="s">
        <v>27</v>
      </c>
      <c r="H32" t="s">
        <v>27</v>
      </c>
      <c r="I32" t="s">
        <v>27</v>
      </c>
      <c r="J32" t="s">
        <v>27</v>
      </c>
      <c r="K32" t="s">
        <v>29</v>
      </c>
      <c r="L32" t="s">
        <v>29</v>
      </c>
      <c r="M32" t="s">
        <v>29</v>
      </c>
      <c r="N32" t="s">
        <v>29</v>
      </c>
      <c r="O32" t="s">
        <v>29</v>
      </c>
      <c r="P32" t="s">
        <v>29</v>
      </c>
      <c r="Q32" s="24"/>
      <c r="R32" s="24"/>
      <c r="S32" s="24"/>
    </row>
  </sheetData>
  <mergeCells count="2">
    <mergeCell ref="A12:B12"/>
    <mergeCell ref="R12:S12"/>
  </mergeCells>
  <conditionalFormatting sqref="P8:P9">
    <cfRule type="containsText" dxfId="7" priority="3" stopIfTrue="1" operator="containsText" text="CS/RS">
      <formula>NOT(ISERROR(SEARCH("CS/RS",P8)))</formula>
    </cfRule>
    <cfRule type="containsText" dxfId="6" priority="4" stopIfTrue="1" operator="containsText" text="Webster">
      <formula>NOT(ISERROR(SEARCH("Webster",P8)))</formula>
    </cfRule>
  </conditionalFormatting>
  <conditionalFormatting sqref="F8:G8 F23:G23 L7:M7 M18:N18">
    <cfRule type="containsText" dxfId="5" priority="2" stopIfTrue="1" operator="containsText" text="LT">
      <formula>NOT(ISERROR(SEARCH("LT",F7)))</formula>
    </cfRule>
  </conditionalFormatting>
  <conditionalFormatting sqref="F9:G9 F24:G24 M19:N19 L8:M8">
    <cfRule type="containsText" dxfId="4" priority="1" stopIfTrue="1" operator="containsText" text="P">
      <formula>NOT(ISERROR(SEARCH("P",F8)))</formula>
    </cfRule>
  </conditionalFormatting>
  <dataValidations count="2">
    <dataValidation type="list" allowBlank="1" showInputMessage="1" showErrorMessage="1" sqref="M22 B21 D16 L5">
      <formula1>$U$10:$V$10</formula1>
    </dataValidation>
    <dataValidation type="list" allowBlank="1" showInputMessage="1" showErrorMessage="1" sqref="P6">
      <formula1>$U$17:$U$18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32"/>
  <sheetViews>
    <sheetView workbookViewId="0"/>
  </sheetViews>
  <sheetFormatPr defaultRowHeight="15"/>
  <sheetData>
    <row r="1" spans="1:19" ht="15.75" thickBot="1">
      <c r="A1" s="1">
        <v>4032</v>
      </c>
      <c r="B1" s="1" t="str">
        <f>I26&amp;" &amp; "&amp;R13</f>
        <v>VA Drive &amp; Foothill</v>
      </c>
      <c r="C1" s="1"/>
      <c r="D1" s="1"/>
      <c r="E1" s="32"/>
      <c r="F1" s="32"/>
      <c r="G1" s="32"/>
      <c r="H1" s="32"/>
      <c r="I1" s="32"/>
      <c r="J1" s="32"/>
      <c r="K1" s="32"/>
      <c r="L1" s="32"/>
      <c r="M1" s="32"/>
      <c r="N1" s="24"/>
      <c r="O1" s="24"/>
      <c r="P1" s="24"/>
      <c r="Q1" s="24"/>
      <c r="R1" s="24"/>
      <c r="S1" s="24"/>
    </row>
    <row r="2" spans="1:19" ht="15.75" thickBot="1">
      <c r="A2" s="25"/>
      <c r="B2" s="1"/>
      <c r="C2" s="1"/>
      <c r="D2" s="1"/>
      <c r="E2" s="1"/>
      <c r="F2" s="1"/>
      <c r="G2" s="32"/>
      <c r="H2" s="32" t="s">
        <v>0</v>
      </c>
      <c r="I2" s="27" t="str">
        <f>IF(I32=0,F32,I32)</f>
        <v>Capecchi</v>
      </c>
      <c r="J2" s="28"/>
      <c r="K2" s="29"/>
      <c r="L2" s="32"/>
      <c r="M2" s="32"/>
      <c r="N2" s="32"/>
      <c r="O2" s="18"/>
      <c r="P2" s="2"/>
      <c r="Q2" s="32"/>
      <c r="R2" s="32"/>
      <c r="S2" s="32"/>
    </row>
    <row r="3" spans="1:19" ht="15.75" thickBot="1">
      <c r="A3" s="1"/>
      <c r="B3" s="1"/>
      <c r="C3" s="1"/>
      <c r="D3" s="1"/>
      <c r="E3" s="1"/>
      <c r="F3" s="1"/>
      <c r="G3" s="32"/>
      <c r="H3" s="32"/>
      <c r="I3" s="32"/>
      <c r="J3" s="32"/>
      <c r="K3" s="32"/>
      <c r="L3" s="32"/>
      <c r="M3" s="32"/>
      <c r="N3" s="32"/>
      <c r="O3" s="18"/>
      <c r="P3" s="2"/>
      <c r="Q3" s="32"/>
      <c r="R3" s="32"/>
      <c r="S3" s="32"/>
    </row>
    <row r="4" spans="1:19" ht="15.75" thickBot="1">
      <c r="A4" s="1"/>
      <c r="B4" s="1"/>
      <c r="C4" s="1"/>
      <c r="D4" s="1"/>
      <c r="E4" s="1"/>
      <c r="F4" s="1"/>
      <c r="G4" s="32"/>
      <c r="H4" s="32"/>
      <c r="I4" s="32" t="s">
        <v>1</v>
      </c>
      <c r="J4" s="3">
        <f>I31</f>
        <v>35</v>
      </c>
      <c r="K4" s="32"/>
      <c r="L4" s="14"/>
      <c r="M4" s="32"/>
      <c r="N4" s="32"/>
      <c r="O4" s="18"/>
      <c r="P4" s="2"/>
      <c r="Q4" s="32"/>
      <c r="R4" s="32"/>
      <c r="S4" s="32"/>
    </row>
    <row r="5" spans="1:19">
      <c r="A5" s="1"/>
      <c r="B5" s="1"/>
      <c r="C5" s="1"/>
      <c r="D5" s="1"/>
      <c r="E5" s="1"/>
      <c r="F5" s="1"/>
      <c r="G5" s="32"/>
      <c r="H5" s="32"/>
      <c r="I5" s="32"/>
      <c r="J5" s="32"/>
      <c r="K5" s="32"/>
      <c r="L5" s="14"/>
      <c r="M5" s="32"/>
      <c r="N5" s="32"/>
      <c r="O5" s="18"/>
      <c r="P5" s="4"/>
      <c r="Q5" s="5"/>
      <c r="R5" s="2"/>
      <c r="S5" s="32"/>
    </row>
    <row r="6" spans="1:19">
      <c r="A6" s="1"/>
      <c r="B6" s="1"/>
      <c r="C6" s="1"/>
      <c r="D6" s="1"/>
      <c r="E6" s="1"/>
      <c r="F6" s="1"/>
      <c r="G6" s="24"/>
      <c r="H6" s="32" t="s">
        <v>2</v>
      </c>
      <c r="I6" s="6">
        <f>J29</f>
        <v>1</v>
      </c>
      <c r="J6" s="6">
        <f>I29</f>
        <v>2</v>
      </c>
      <c r="K6" s="6">
        <f>H29</f>
        <v>1</v>
      </c>
      <c r="L6" s="7"/>
      <c r="M6" s="32"/>
      <c r="N6" s="32"/>
      <c r="O6" s="5"/>
      <c r="P6" s="14"/>
      <c r="Q6" s="8"/>
      <c r="R6" s="32"/>
      <c r="S6" s="32"/>
    </row>
    <row r="7" spans="1:19">
      <c r="A7" s="1"/>
      <c r="B7" s="1"/>
      <c r="C7" s="1"/>
      <c r="D7" s="1"/>
      <c r="E7" s="1"/>
      <c r="F7" s="1"/>
      <c r="G7" s="24"/>
      <c r="H7" s="32" t="s">
        <v>3</v>
      </c>
      <c r="I7" s="9">
        <f>J30</f>
        <v>280</v>
      </c>
      <c r="J7" s="9">
        <f>I30</f>
        <v>0</v>
      </c>
      <c r="K7" s="9">
        <f>H30</f>
        <v>1078</v>
      </c>
      <c r="L7" s="21"/>
      <c r="M7" s="21"/>
      <c r="N7" s="32"/>
      <c r="O7" s="18"/>
      <c r="P7" s="10"/>
      <c r="Q7" s="32"/>
      <c r="R7" s="32"/>
      <c r="S7" s="32"/>
    </row>
    <row r="8" spans="1:19">
      <c r="A8" s="1"/>
      <c r="B8" s="1"/>
      <c r="C8" s="1"/>
      <c r="D8" s="1"/>
      <c r="E8" s="32"/>
      <c r="F8" s="19"/>
      <c r="G8" s="19"/>
      <c r="H8" s="32"/>
      <c r="I8" s="32"/>
      <c r="J8" s="32"/>
      <c r="K8" s="32"/>
      <c r="L8" s="21"/>
      <c r="M8" s="21"/>
      <c r="N8" s="32"/>
      <c r="O8" s="19"/>
      <c r="P8" s="10"/>
      <c r="Q8" s="32"/>
      <c r="R8" s="32"/>
      <c r="S8" s="32"/>
    </row>
    <row r="9" spans="1:19">
      <c r="A9" s="1"/>
      <c r="B9" s="1"/>
      <c r="C9" s="1"/>
      <c r="D9" s="1"/>
      <c r="E9" s="32"/>
      <c r="F9" s="19"/>
      <c r="G9" s="19"/>
      <c r="H9" s="32"/>
      <c r="I9" s="32"/>
      <c r="J9" s="32"/>
      <c r="K9" s="32"/>
      <c r="L9" s="7"/>
      <c r="M9" s="11"/>
      <c r="N9" s="32"/>
      <c r="O9" s="12"/>
      <c r="P9" s="13"/>
      <c r="Q9" s="32"/>
      <c r="R9" s="32"/>
      <c r="S9" s="32"/>
    </row>
    <row r="10" spans="1:19">
      <c r="A10" s="32"/>
      <c r="B10" s="32"/>
      <c r="C10" s="32"/>
      <c r="D10" s="32"/>
      <c r="E10" s="32"/>
      <c r="F10" s="7"/>
      <c r="G10" s="32"/>
      <c r="H10" s="32"/>
      <c r="I10" s="32"/>
      <c r="J10" s="32"/>
      <c r="K10" s="32"/>
      <c r="L10" s="32"/>
      <c r="M10" s="24"/>
      <c r="N10" s="24"/>
      <c r="O10" s="32"/>
      <c r="P10" s="32"/>
      <c r="Q10" s="32"/>
      <c r="R10" s="32"/>
      <c r="S10" s="32"/>
    </row>
    <row r="11" spans="1:19">
      <c r="A11" s="32"/>
      <c r="B11" s="32"/>
      <c r="C11" s="32"/>
      <c r="D11" s="32"/>
      <c r="E11" s="32"/>
      <c r="F11" s="32" t="s">
        <v>2</v>
      </c>
      <c r="G11" s="32" t="s">
        <v>3</v>
      </c>
      <c r="H11" s="32"/>
      <c r="I11" s="32"/>
      <c r="J11" s="32"/>
      <c r="K11" s="32"/>
      <c r="L11" s="32"/>
      <c r="M11" s="32" t="str">
        <f>G11</f>
        <v>Volume</v>
      </c>
      <c r="N11" s="32" t="str">
        <f>F11</f>
        <v>No lanes</v>
      </c>
      <c r="O11" s="32"/>
      <c r="P11" s="32"/>
      <c r="Q11" s="32"/>
      <c r="R11" s="32"/>
      <c r="S11" s="32"/>
    </row>
    <row r="12" spans="1:19" ht="15.75" thickBot="1">
      <c r="A12" s="33" t="s">
        <v>0</v>
      </c>
      <c r="B12" s="33"/>
      <c r="C12" s="32"/>
      <c r="D12" s="32" t="s">
        <v>4</v>
      </c>
      <c r="E12" s="32"/>
      <c r="F12" s="6">
        <f>K29</f>
        <v>1</v>
      </c>
      <c r="G12" s="9">
        <f>K30</f>
        <v>70</v>
      </c>
      <c r="H12" s="32"/>
      <c r="I12" s="32"/>
      <c r="J12" s="32"/>
      <c r="K12" s="32"/>
      <c r="L12" s="32"/>
      <c r="M12" s="9">
        <f>P30</f>
        <v>132</v>
      </c>
      <c r="N12" s="6">
        <f>P29</f>
        <v>1</v>
      </c>
      <c r="O12" s="32"/>
      <c r="P12" s="32" t="s">
        <v>5</v>
      </c>
      <c r="Q12" s="32"/>
      <c r="R12" s="33" t="s">
        <v>0</v>
      </c>
      <c r="S12" s="33"/>
    </row>
    <row r="13" spans="1:19" ht="15.75" thickBot="1">
      <c r="A13" s="27" t="str">
        <f>IF(L32=0,O32,L32)</f>
        <v>500 South</v>
      </c>
      <c r="B13" s="29"/>
      <c r="C13" s="32"/>
      <c r="D13" s="3">
        <f>L31</f>
        <v>40</v>
      </c>
      <c r="E13" s="32"/>
      <c r="F13" s="11"/>
      <c r="G13" s="11"/>
      <c r="H13" s="32"/>
      <c r="I13" s="32"/>
      <c r="J13" s="32"/>
      <c r="K13" s="32"/>
      <c r="L13" s="32"/>
      <c r="M13" s="11"/>
      <c r="N13" s="11"/>
      <c r="O13" s="32"/>
      <c r="P13" s="3">
        <f>O31</f>
        <v>40</v>
      </c>
      <c r="Q13" s="32"/>
      <c r="R13" s="27" t="str">
        <f>IF(O32=0,L32,O32)</f>
        <v>Foothill</v>
      </c>
      <c r="S13" s="29"/>
    </row>
    <row r="14" spans="1:19">
      <c r="A14" s="32"/>
      <c r="B14" s="32"/>
      <c r="C14" s="32"/>
      <c r="D14" s="32"/>
      <c r="E14" s="32"/>
      <c r="F14" s="6">
        <f>L29</f>
        <v>3</v>
      </c>
      <c r="G14" s="9">
        <f>L30</f>
        <v>614</v>
      </c>
      <c r="H14" s="32"/>
      <c r="I14" s="32"/>
      <c r="J14" s="32"/>
      <c r="K14" s="32"/>
      <c r="L14" s="32"/>
      <c r="M14" s="9">
        <f>O30</f>
        <v>723</v>
      </c>
      <c r="N14" s="6">
        <f>O29</f>
        <v>3</v>
      </c>
      <c r="O14" s="32"/>
      <c r="P14" s="32"/>
      <c r="Q14" s="32"/>
      <c r="R14" s="32"/>
      <c r="S14" s="32"/>
    </row>
    <row r="15" spans="1:19">
      <c r="A15" s="32"/>
      <c r="B15" s="32"/>
      <c r="C15" s="32"/>
      <c r="D15" s="14"/>
      <c r="E15" s="32"/>
      <c r="F15" s="11"/>
      <c r="G15" s="11"/>
      <c r="H15" s="32"/>
      <c r="I15" s="32"/>
      <c r="J15" s="32"/>
      <c r="K15" s="32"/>
      <c r="L15" s="32"/>
      <c r="M15" s="11"/>
      <c r="N15" s="11"/>
      <c r="O15" s="32"/>
      <c r="P15" s="14"/>
      <c r="Q15" s="32"/>
      <c r="R15" s="32"/>
      <c r="S15" s="32"/>
    </row>
    <row r="16" spans="1:19">
      <c r="A16" s="32"/>
      <c r="B16" s="32"/>
      <c r="C16" s="32"/>
      <c r="D16" s="14"/>
      <c r="E16" s="32"/>
      <c r="F16" s="6">
        <f>M29</f>
        <v>1</v>
      </c>
      <c r="G16" s="9">
        <f>M30</f>
        <v>16</v>
      </c>
      <c r="H16" s="32"/>
      <c r="I16" s="32"/>
      <c r="J16" s="32"/>
      <c r="K16" s="32"/>
      <c r="L16" s="32"/>
      <c r="M16" s="9">
        <f>N30</f>
        <v>27</v>
      </c>
      <c r="N16" s="6">
        <f>N29</f>
        <v>1</v>
      </c>
      <c r="O16" s="32"/>
      <c r="P16" s="14"/>
      <c r="Q16" s="32"/>
      <c r="R16" s="32"/>
      <c r="S16" s="32"/>
    </row>
    <row r="17" spans="1:19">
      <c r="A17" s="32"/>
      <c r="B17" s="32"/>
      <c r="C17" s="32"/>
      <c r="D17" s="32"/>
      <c r="E17" s="32"/>
      <c r="F17" s="14"/>
      <c r="G17" s="14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</row>
    <row r="18" spans="1:19">
      <c r="A18" s="32"/>
      <c r="B18" s="32"/>
      <c r="C18" s="32"/>
      <c r="D18" s="7"/>
      <c r="E18" s="32"/>
      <c r="F18" s="32"/>
      <c r="G18" s="32"/>
      <c r="H18" s="32"/>
      <c r="I18" s="32"/>
      <c r="J18" s="32"/>
      <c r="K18" s="32"/>
      <c r="L18" s="32"/>
      <c r="M18" s="23"/>
      <c r="N18" s="23"/>
      <c r="O18" s="32"/>
      <c r="P18" s="7"/>
      <c r="Q18" s="32"/>
      <c r="R18" s="32"/>
      <c r="S18" s="32"/>
    </row>
    <row r="19" spans="1:19">
      <c r="A19" s="32"/>
      <c r="B19" s="14"/>
      <c r="C19" s="14"/>
      <c r="D19" s="14"/>
      <c r="E19" s="14"/>
      <c r="F19" s="32"/>
      <c r="G19" s="32"/>
      <c r="H19" s="32"/>
      <c r="I19" s="32"/>
      <c r="J19" s="32"/>
      <c r="K19" s="32"/>
      <c r="L19" s="32"/>
      <c r="M19" s="21"/>
      <c r="N19" s="21"/>
      <c r="O19" s="32"/>
      <c r="P19" s="32"/>
      <c r="Q19" s="32"/>
      <c r="R19" s="32"/>
      <c r="S19" s="32"/>
    </row>
    <row r="20" spans="1:19">
      <c r="A20" s="32"/>
      <c r="B20" s="16"/>
      <c r="C20" s="16"/>
      <c r="D20" s="16"/>
      <c r="E20" s="16"/>
      <c r="F20" s="32"/>
      <c r="G20" s="32"/>
      <c r="H20" s="32"/>
      <c r="I20" s="32"/>
      <c r="J20" s="32"/>
      <c r="K20" s="32"/>
      <c r="L20" s="32"/>
      <c r="M20" s="7"/>
      <c r="N20" s="32"/>
      <c r="O20" s="14"/>
      <c r="P20" s="14"/>
      <c r="Q20" s="32"/>
      <c r="R20" s="32"/>
      <c r="S20" s="32"/>
    </row>
    <row r="21" spans="1:19">
      <c r="A21" s="32"/>
      <c r="B21" s="17"/>
      <c r="C21" s="17"/>
      <c r="D21" s="17"/>
      <c r="E21" s="17"/>
      <c r="F21" s="32"/>
      <c r="G21" s="32"/>
      <c r="H21" s="32" t="str">
        <f>H7</f>
        <v>Volume</v>
      </c>
      <c r="I21" s="9">
        <f>E30</f>
        <v>114</v>
      </c>
      <c r="J21" s="9">
        <f t="shared" ref="J21:K21" si="0">F30</f>
        <v>0</v>
      </c>
      <c r="K21" s="9">
        <f t="shared" si="0"/>
        <v>148</v>
      </c>
      <c r="L21" s="14"/>
      <c r="M21" s="14"/>
      <c r="N21" s="32"/>
      <c r="O21" s="14"/>
      <c r="P21" s="14"/>
      <c r="Q21" s="32"/>
      <c r="R21" s="32"/>
      <c r="S21" s="32"/>
    </row>
    <row r="22" spans="1:19">
      <c r="A22" s="32"/>
      <c r="B22" s="32"/>
      <c r="C22" s="32"/>
      <c r="D22" s="32"/>
      <c r="E22" s="32"/>
      <c r="F22" s="32"/>
      <c r="G22" s="32"/>
      <c r="H22" s="32" t="str">
        <f>H6</f>
        <v>No lanes</v>
      </c>
      <c r="I22" s="6">
        <f>E29</f>
        <v>1</v>
      </c>
      <c r="J22" s="6">
        <f t="shared" ref="J22:K22" si="1">F29</f>
        <v>1</v>
      </c>
      <c r="K22" s="6">
        <f t="shared" si="1"/>
        <v>1</v>
      </c>
      <c r="L22" s="14"/>
      <c r="M22" s="14"/>
      <c r="N22" s="32"/>
      <c r="O22" s="15"/>
      <c r="P22" s="15"/>
      <c r="Q22" s="32"/>
      <c r="R22" s="32"/>
      <c r="S22" s="32"/>
    </row>
    <row r="23" spans="1:19" ht="15.75" thickBot="1">
      <c r="A23" s="32"/>
      <c r="B23" s="32"/>
      <c r="C23" s="32"/>
      <c r="D23" s="32"/>
      <c r="E23" s="32"/>
      <c r="F23" s="19"/>
      <c r="G23" s="19"/>
      <c r="H23" s="32"/>
      <c r="I23" s="32"/>
      <c r="J23" s="32"/>
      <c r="K23" s="32"/>
      <c r="L23" s="32"/>
      <c r="M23" s="20"/>
      <c r="N23" s="32"/>
      <c r="O23" s="15"/>
      <c r="P23" s="15"/>
      <c r="Q23" s="32"/>
      <c r="R23" s="32"/>
      <c r="S23" s="32"/>
    </row>
    <row r="24" spans="1:19" ht="15.75" thickBot="1">
      <c r="A24" s="32"/>
      <c r="B24" s="32"/>
      <c r="C24" s="32"/>
      <c r="D24" s="32"/>
      <c r="E24" s="32"/>
      <c r="F24" s="19"/>
      <c r="G24" s="19"/>
      <c r="H24" s="32"/>
      <c r="I24" s="32" t="s">
        <v>6</v>
      </c>
      <c r="J24" s="3">
        <f>F31</f>
        <v>25</v>
      </c>
      <c r="K24" s="32"/>
      <c r="L24" s="32"/>
      <c r="M24" s="7"/>
      <c r="N24" s="32"/>
      <c r="O24" s="15"/>
      <c r="P24" s="15"/>
      <c r="Q24" s="32"/>
      <c r="R24" s="32"/>
      <c r="S24" s="32"/>
    </row>
    <row r="25" spans="1:19" ht="15.75" thickBot="1">
      <c r="A25" s="32"/>
      <c r="B25" s="32"/>
      <c r="C25" s="32"/>
      <c r="D25" s="32"/>
      <c r="E25" s="32"/>
      <c r="F25" s="7"/>
      <c r="G25" s="32"/>
      <c r="H25" s="32"/>
      <c r="I25" s="32"/>
      <c r="J25" s="32"/>
      <c r="K25" s="32"/>
      <c r="L25" s="32"/>
      <c r="M25" s="32"/>
      <c r="N25" s="32"/>
      <c r="O25" s="15"/>
      <c r="P25" s="15"/>
      <c r="Q25" s="32"/>
      <c r="R25" s="32"/>
      <c r="S25" s="32"/>
    </row>
    <row r="26" spans="1:19" ht="15.75" thickBot="1">
      <c r="A26" s="32"/>
      <c r="B26" s="32"/>
      <c r="C26" s="32"/>
      <c r="D26" s="32"/>
      <c r="E26" s="32"/>
      <c r="F26" s="32"/>
      <c r="G26" s="32"/>
      <c r="H26" s="32" t="s">
        <v>0</v>
      </c>
      <c r="I26" s="27" t="str">
        <f>IF(F32=0,I32,F32)</f>
        <v>VA Drive</v>
      </c>
      <c r="J26" s="28"/>
      <c r="K26" s="29"/>
      <c r="L26" s="32"/>
      <c r="M26" s="32"/>
      <c r="N26" s="32"/>
      <c r="O26" s="15"/>
      <c r="P26" s="15"/>
      <c r="Q26" s="32"/>
      <c r="R26" s="32"/>
      <c r="S26" s="32"/>
    </row>
    <row r="27" spans="1:19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</row>
    <row r="28" spans="1:19">
      <c r="A28" s="24"/>
      <c r="B28" s="24"/>
      <c r="C28" s="24"/>
      <c r="D28" s="24"/>
      <c r="E28" s="26" t="s">
        <v>7</v>
      </c>
      <c r="F28" s="26" t="s">
        <v>8</v>
      </c>
      <c r="G28" s="26" t="s">
        <v>9</v>
      </c>
      <c r="H28" s="26" t="s">
        <v>10</v>
      </c>
      <c r="I28" s="26" t="s">
        <v>11</v>
      </c>
      <c r="J28" s="26" t="s">
        <v>12</v>
      </c>
      <c r="K28" s="26" t="s">
        <v>13</v>
      </c>
      <c r="L28" s="26" t="s">
        <v>14</v>
      </c>
      <c r="M28" s="26" t="s">
        <v>15</v>
      </c>
      <c r="N28" s="26" t="s">
        <v>16</v>
      </c>
      <c r="O28" s="26" t="s">
        <v>17</v>
      </c>
      <c r="P28" s="26" t="s">
        <v>18</v>
      </c>
      <c r="Q28" s="24"/>
      <c r="R28" s="24"/>
      <c r="S28" s="24"/>
    </row>
    <row r="29" spans="1:19">
      <c r="A29" s="24"/>
      <c r="B29" s="24"/>
      <c r="C29" s="24"/>
      <c r="D29" s="24" t="s">
        <v>19</v>
      </c>
      <c r="E29">
        <v>1</v>
      </c>
      <c r="F29">
        <v>1</v>
      </c>
      <c r="G29">
        <v>1</v>
      </c>
      <c r="H29">
        <v>1</v>
      </c>
      <c r="I29">
        <v>2</v>
      </c>
      <c r="J29">
        <v>1</v>
      </c>
      <c r="K29">
        <v>1</v>
      </c>
      <c r="L29">
        <v>3</v>
      </c>
      <c r="M29">
        <v>1</v>
      </c>
      <c r="N29">
        <v>1</v>
      </c>
      <c r="O29">
        <v>3</v>
      </c>
      <c r="P29">
        <v>1</v>
      </c>
      <c r="Q29" s="24"/>
      <c r="R29" s="24"/>
      <c r="S29" s="24"/>
    </row>
    <row r="30" spans="1:19">
      <c r="A30" s="24"/>
      <c r="B30" s="24"/>
      <c r="C30" s="24"/>
      <c r="D30" s="24" t="s">
        <v>3</v>
      </c>
      <c r="E30">
        <v>114</v>
      </c>
      <c r="F30">
        <v>0</v>
      </c>
      <c r="G30">
        <v>148</v>
      </c>
      <c r="H30">
        <v>1078</v>
      </c>
      <c r="I30">
        <v>0</v>
      </c>
      <c r="J30">
        <v>280</v>
      </c>
      <c r="K30">
        <v>70</v>
      </c>
      <c r="L30">
        <v>614</v>
      </c>
      <c r="M30">
        <v>16</v>
      </c>
      <c r="N30">
        <v>27</v>
      </c>
      <c r="O30">
        <v>723</v>
      </c>
      <c r="P30">
        <v>132</v>
      </c>
      <c r="Q30" s="24"/>
      <c r="R30" s="24"/>
      <c r="S30" s="24"/>
    </row>
    <row r="31" spans="1:19">
      <c r="A31" s="24"/>
      <c r="B31" s="24"/>
      <c r="C31" s="24"/>
      <c r="D31" s="24" t="s">
        <v>20</v>
      </c>
      <c r="E31">
        <v>40</v>
      </c>
      <c r="F31">
        <v>25</v>
      </c>
      <c r="G31">
        <v>40</v>
      </c>
      <c r="H31">
        <v>40</v>
      </c>
      <c r="I31">
        <v>35</v>
      </c>
      <c r="J31">
        <v>40</v>
      </c>
      <c r="K31">
        <v>40</v>
      </c>
      <c r="L31">
        <v>40</v>
      </c>
      <c r="M31">
        <v>40</v>
      </c>
      <c r="N31">
        <v>40</v>
      </c>
      <c r="O31">
        <v>40</v>
      </c>
      <c r="P31">
        <v>40</v>
      </c>
      <c r="Q31" s="24"/>
      <c r="R31" s="24"/>
      <c r="S31" s="24"/>
    </row>
    <row r="32" spans="1:19">
      <c r="A32" s="24"/>
      <c r="B32" s="24"/>
      <c r="C32" s="24"/>
      <c r="D32" s="24" t="s">
        <v>21</v>
      </c>
      <c r="E32" t="s">
        <v>30</v>
      </c>
      <c r="F32" t="s">
        <v>30</v>
      </c>
      <c r="G32" t="s">
        <v>30</v>
      </c>
      <c r="H32" t="s">
        <v>31</v>
      </c>
      <c r="I32" t="s">
        <v>31</v>
      </c>
      <c r="J32" t="s">
        <v>31</v>
      </c>
      <c r="K32" t="s">
        <v>32</v>
      </c>
      <c r="L32" t="s">
        <v>32</v>
      </c>
      <c r="M32" t="s">
        <v>32</v>
      </c>
      <c r="N32" t="s">
        <v>27</v>
      </c>
      <c r="O32" t="s">
        <v>27</v>
      </c>
      <c r="P32" t="s">
        <v>27</v>
      </c>
      <c r="Q32" s="24"/>
      <c r="R32" s="24"/>
      <c r="S32" s="24"/>
    </row>
  </sheetData>
  <mergeCells count="2">
    <mergeCell ref="A12:B12"/>
    <mergeCell ref="R12:S12"/>
  </mergeCells>
  <conditionalFormatting sqref="P8:P9">
    <cfRule type="containsText" dxfId="3" priority="3" stopIfTrue="1" operator="containsText" text="CS/RS">
      <formula>NOT(ISERROR(SEARCH("CS/RS",P8)))</formula>
    </cfRule>
    <cfRule type="containsText" dxfId="2" priority="4" stopIfTrue="1" operator="containsText" text="Webster">
      <formula>NOT(ISERROR(SEARCH("Webster",P8)))</formula>
    </cfRule>
  </conditionalFormatting>
  <conditionalFormatting sqref="F8:G8 F23:G23 L7:M7 M18:N18">
    <cfRule type="containsText" dxfId="1" priority="2" stopIfTrue="1" operator="containsText" text="LT">
      <formula>NOT(ISERROR(SEARCH("LT",F7)))</formula>
    </cfRule>
  </conditionalFormatting>
  <conditionalFormatting sqref="F9:G9 F24:G24 M19:N19 L8:M8">
    <cfRule type="containsText" dxfId="0" priority="1" stopIfTrue="1" operator="containsText" text="P">
      <formula>NOT(ISERROR(SEARCH("P",F8)))</formula>
    </cfRule>
  </conditionalFormatting>
  <dataValidations count="2">
    <dataValidation type="list" allowBlank="1" showInputMessage="1" showErrorMessage="1" sqref="M22 B21 D16 L5">
      <formula1>$U$10:$V$10</formula1>
    </dataValidation>
    <dataValidation type="list" allowBlank="1" showInputMessage="1" showErrorMessage="1" sqref="P6">
      <formula1>$U$17:$U$18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1"/>
  <dimension ref="B8:G15"/>
  <sheetViews>
    <sheetView showGridLines="0" tabSelected="1" workbookViewId="0">
      <selection activeCell="E9" sqref="E9"/>
    </sheetView>
  </sheetViews>
  <sheetFormatPr defaultRowHeight="15"/>
  <cols>
    <col min="1" max="1" width="9.140625" style="24"/>
    <col min="2" max="2" width="9.140625" style="26"/>
    <col min="3" max="3" width="22.85546875" style="26" customWidth="1"/>
    <col min="4" max="16384" width="9.140625" style="24"/>
  </cols>
  <sheetData>
    <row r="8" spans="2:7" s="30" customFormat="1" ht="14.25">
      <c r="B8" s="30" t="s">
        <v>22</v>
      </c>
      <c r="C8" s="30" t="s">
        <v>21</v>
      </c>
      <c r="D8" s="30" t="s">
        <v>23</v>
      </c>
      <c r="E8" s="30" t="s">
        <v>24</v>
      </c>
    </row>
    <row r="9" spans="2:7">
      <c r="B9" s="26">
        <v>4022</v>
      </c>
      <c r="C9" s="26" t="s">
        <v>33</v>
      </c>
      <c r="D9" s="35" t="s">
        <v>37</v>
      </c>
      <c r="E9" s="35" t="s">
        <v>39</v>
      </c>
      <c r="F9" s="34" t="s">
        <v>36</v>
      </c>
      <c r="G9" s="34" t="s">
        <v>38</v>
      </c>
    </row>
    <row r="10" spans="2:7">
      <c r="B10" s="26">
        <v>4031</v>
      </c>
      <c r="C10" s="26" t="s">
        <v>34</v>
      </c>
      <c r="D10" s="35" t="s">
        <v>41</v>
      </c>
      <c r="E10" s="35" t="s">
        <v>43</v>
      </c>
      <c r="F10" s="34" t="s">
        <v>40</v>
      </c>
      <c r="G10" s="34" t="s">
        <v>42</v>
      </c>
    </row>
    <row r="11" spans="2:7">
      <c r="B11" s="26">
        <v>4032</v>
      </c>
      <c r="C11" s="26" t="s">
        <v>35</v>
      </c>
      <c r="D11" s="35" t="s">
        <v>45</v>
      </c>
      <c r="E11" s="35" t="s">
        <v>47</v>
      </c>
      <c r="F11" s="34" t="s">
        <v>44</v>
      </c>
      <c r="G11" s="34" t="s">
        <v>46</v>
      </c>
    </row>
    <row r="12" spans="2:7">
      <c r="B12"/>
      <c r="C12"/>
      <c r="D12"/>
      <c r="E12"/>
      <c r="F12"/>
      <c r="G12"/>
    </row>
    <row r="13" spans="2:7">
      <c r="B13"/>
      <c r="C13"/>
      <c r="D13"/>
      <c r="E13"/>
      <c r="F13"/>
      <c r="G13"/>
    </row>
    <row r="14" spans="2:7">
      <c r="B14"/>
      <c r="C14"/>
      <c r="D14"/>
      <c r="E14"/>
      <c r="F14"/>
      <c r="G14"/>
    </row>
    <row r="15" spans="2:7">
      <c r="D15" s="31"/>
    </row>
  </sheetData>
  <hyperlinks>
    <hyperlink ref="D9" r:id="rId1" tooltip="QEM link"/>
    <hyperlink ref="E9" r:id="rId2" tooltip="PDF link"/>
    <hyperlink ref="D10" r:id="rId3" tooltip="QEM link"/>
    <hyperlink ref="E10" r:id="rId4" tooltip="PDF link"/>
    <hyperlink ref="D11" r:id="rId5" tooltip="QEM link"/>
    <hyperlink ref="E11" r:id="rId6" tooltip="PDF link"/>
  </hyperlinks>
  <pageMargins left="0.7" right="0.7" top="0.75" bottom="0.75" header="0.3" footer="0.3"/>
  <pageSetup orientation="portrait" r:id="rId7"/>
  <legacyDrawing r:id="rId8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C200"/>
  <sheetViews>
    <sheetView workbookViewId="0"/>
  </sheetViews>
  <sheetFormatPr defaultRowHeight="15"/>
  <sheetData>
    <row r="1" spans="1:3">
      <c r="A1">
        <f>IF(AMS!A2=0,"",AMS!A2)</f>
        <v>4022</v>
      </c>
      <c r="B1">
        <f>COUNT(A:A)</f>
        <v>3</v>
      </c>
      <c r="C1">
        <v>1</v>
      </c>
    </row>
    <row r="2" spans="1:3">
      <c r="A2">
        <f>IF(AMS!A3=0,"",AMS!A3)</f>
        <v>4031</v>
      </c>
    </row>
    <row r="3" spans="1:3">
      <c r="A3">
        <f>IF(AMS!A4=0,"",AMS!A4)</f>
        <v>4032</v>
      </c>
    </row>
    <row r="4" spans="1:3">
      <c r="A4" t="str">
        <f>IF(AMS!A5=0,"",AMS!A5)</f>
        <v/>
      </c>
    </row>
    <row r="5" spans="1:3">
      <c r="A5" t="str">
        <f>IF(AMS!A6=0,"",AMS!A6)</f>
        <v/>
      </c>
    </row>
    <row r="6" spans="1:3">
      <c r="A6" t="str">
        <f>IF(AMS!A7=0,"",AMS!A7)</f>
        <v/>
      </c>
    </row>
    <row r="7" spans="1:3">
      <c r="A7" t="str">
        <f>IF(AMS!A8=0,"",AMS!A8)</f>
        <v/>
      </c>
    </row>
    <row r="8" spans="1:3">
      <c r="A8" t="str">
        <f>IF(AMS!A9=0,"",AMS!A9)</f>
        <v/>
      </c>
    </row>
    <row r="9" spans="1:3">
      <c r="A9" t="str">
        <f>IF(AMS!A10=0,"",AMS!A10)</f>
        <v/>
      </c>
    </row>
    <row r="10" spans="1:3">
      <c r="A10" t="str">
        <f>IF(AMS!A11=0,"",AMS!A11)</f>
        <v/>
      </c>
    </row>
    <row r="11" spans="1:3">
      <c r="A11" t="str">
        <f>IF(AMS!A12=0,"",AMS!A12)</f>
        <v/>
      </c>
    </row>
    <row r="12" spans="1:3">
      <c r="A12" t="str">
        <f>IF(AMS!A13=0,"",AMS!A13)</f>
        <v/>
      </c>
    </row>
    <row r="13" spans="1:3">
      <c r="A13" t="str">
        <f>IF(AMS!A14=0,"",AMS!A14)</f>
        <v/>
      </c>
    </row>
    <row r="14" spans="1:3">
      <c r="A14" t="str">
        <f>IF(AMS!A15=0,"",AMS!A15)</f>
        <v/>
      </c>
    </row>
    <row r="15" spans="1:3">
      <c r="A15" t="str">
        <f>IF(AMS!A16=0,"",AMS!A16)</f>
        <v/>
      </c>
    </row>
    <row r="16" spans="1:3">
      <c r="A16" t="str">
        <f>IF(AMS!A17=0,"",AMS!A17)</f>
        <v/>
      </c>
    </row>
    <row r="17" spans="1:1">
      <c r="A17" t="str">
        <f>IF(AMS!A18=0,"",AMS!A18)</f>
        <v/>
      </c>
    </row>
    <row r="18" spans="1:1">
      <c r="A18" t="str">
        <f>IF(AMS!A19=0,"",AMS!A19)</f>
        <v/>
      </c>
    </row>
    <row r="19" spans="1:1">
      <c r="A19" t="str">
        <f>IF(AMS!A20=0,"",AMS!A20)</f>
        <v/>
      </c>
    </row>
    <row r="20" spans="1:1">
      <c r="A20" t="str">
        <f>IF(AMS!A21=0,"",AMS!A21)</f>
        <v/>
      </c>
    </row>
    <row r="21" spans="1:1">
      <c r="A21" t="str">
        <f>IF(AMS!A22=0,"",AMS!A22)</f>
        <v/>
      </c>
    </row>
    <row r="22" spans="1:1">
      <c r="A22" t="str">
        <f>IF(AMS!A23=0,"",AMS!A23)</f>
        <v/>
      </c>
    </row>
    <row r="23" spans="1:1">
      <c r="A23" t="str">
        <f>IF(AMS!A24=0,"",AMS!A24)</f>
        <v/>
      </c>
    </row>
    <row r="24" spans="1:1">
      <c r="A24" t="str">
        <f>IF(AMS!A25=0,"",AMS!A25)</f>
        <v/>
      </c>
    </row>
    <row r="25" spans="1:1">
      <c r="A25" t="str">
        <f>IF(AMS!A26=0,"",AMS!A26)</f>
        <v/>
      </c>
    </row>
    <row r="26" spans="1:1">
      <c r="A26" t="str">
        <f>IF(AMS!A27=0,"",AMS!A27)</f>
        <v/>
      </c>
    </row>
    <row r="27" spans="1:1">
      <c r="A27" t="str">
        <f>IF(AMS!A28=0,"",AMS!A28)</f>
        <v/>
      </c>
    </row>
    <row r="28" spans="1:1">
      <c r="A28" t="str">
        <f>IF(AMS!A29=0,"",AMS!A29)</f>
        <v/>
      </c>
    </row>
    <row r="29" spans="1:1">
      <c r="A29" t="str">
        <f>IF(AMS!A30=0,"",AMS!A30)</f>
        <v/>
      </c>
    </row>
    <row r="30" spans="1:1">
      <c r="A30" t="str">
        <f>IF(AMS!A31=0,"",AMS!A31)</f>
        <v/>
      </c>
    </row>
    <row r="31" spans="1:1">
      <c r="A31" t="str">
        <f>IF(AMS!A32=0,"",AMS!A32)</f>
        <v/>
      </c>
    </row>
    <row r="32" spans="1:1">
      <c r="A32" t="str">
        <f>IF(AMS!A33=0,"",AMS!A33)</f>
        <v/>
      </c>
    </row>
    <row r="33" spans="1:1">
      <c r="A33" t="str">
        <f>IF(AMS!A34=0,"",AMS!A34)</f>
        <v/>
      </c>
    </row>
    <row r="34" spans="1:1">
      <c r="A34" t="str">
        <f>IF(AMS!A35=0,"",AMS!A35)</f>
        <v/>
      </c>
    </row>
    <row r="35" spans="1:1">
      <c r="A35" t="str">
        <f>IF(AMS!A36=0,"",AMS!A36)</f>
        <v/>
      </c>
    </row>
    <row r="36" spans="1:1">
      <c r="A36" t="str">
        <f>IF(AMS!A37=0,"",AMS!A37)</f>
        <v/>
      </c>
    </row>
    <row r="37" spans="1:1">
      <c r="A37" t="str">
        <f>IF(AMS!A38=0,"",AMS!A38)</f>
        <v/>
      </c>
    </row>
    <row r="38" spans="1:1">
      <c r="A38" t="str">
        <f>IF(AMS!A39=0,"",AMS!A39)</f>
        <v/>
      </c>
    </row>
    <row r="39" spans="1:1">
      <c r="A39" t="str">
        <f>IF(AMS!A40=0,"",AMS!A40)</f>
        <v/>
      </c>
    </row>
    <row r="40" spans="1:1">
      <c r="A40" t="str">
        <f>IF(AMS!A41=0,"",AMS!A41)</f>
        <v/>
      </c>
    </row>
    <row r="41" spans="1:1">
      <c r="A41" t="str">
        <f>IF(AMS!A42=0,"",AMS!A42)</f>
        <v/>
      </c>
    </row>
    <row r="42" spans="1:1">
      <c r="A42" t="str">
        <f>IF(AMS!A43=0,"",AMS!A43)</f>
        <v/>
      </c>
    </row>
    <row r="43" spans="1:1">
      <c r="A43" t="str">
        <f>IF(AMS!A44=0,"",AMS!A44)</f>
        <v/>
      </c>
    </row>
    <row r="44" spans="1:1">
      <c r="A44" t="str">
        <f>IF(AMS!A45=0,"",AMS!A45)</f>
        <v/>
      </c>
    </row>
    <row r="45" spans="1:1">
      <c r="A45" t="str">
        <f>IF(AMS!A46=0,"",AMS!A46)</f>
        <v/>
      </c>
    </row>
    <row r="46" spans="1:1">
      <c r="A46" t="str">
        <f>IF(AMS!A47=0,"",AMS!A47)</f>
        <v/>
      </c>
    </row>
    <row r="47" spans="1:1">
      <c r="A47" t="str">
        <f>IF(AMS!A48=0,"",AMS!A48)</f>
        <v/>
      </c>
    </row>
    <row r="48" spans="1:1">
      <c r="A48" t="str">
        <f>IF(AMS!A49=0,"",AMS!A49)</f>
        <v/>
      </c>
    </row>
    <row r="49" spans="1:1">
      <c r="A49" t="str">
        <f>IF(AMS!A50=0,"",AMS!A50)</f>
        <v/>
      </c>
    </row>
    <row r="50" spans="1:1">
      <c r="A50" t="str">
        <f>IF(AMS!A51=0,"",AMS!A51)</f>
        <v/>
      </c>
    </row>
    <row r="51" spans="1:1">
      <c r="A51" t="str">
        <f>IF(AMS!A52=0,"",AMS!A52)</f>
        <v/>
      </c>
    </row>
    <row r="52" spans="1:1">
      <c r="A52" t="str">
        <f>IF(AMS!A53=0,"",AMS!A53)</f>
        <v/>
      </c>
    </row>
    <row r="53" spans="1:1">
      <c r="A53" t="str">
        <f>IF(AMS!A54=0,"",AMS!A54)</f>
        <v/>
      </c>
    </row>
    <row r="54" spans="1:1">
      <c r="A54" t="str">
        <f>IF(AMS!A55=0,"",AMS!A55)</f>
        <v/>
      </c>
    </row>
    <row r="55" spans="1:1">
      <c r="A55" t="str">
        <f>IF(AMS!A56=0,"",AMS!A56)</f>
        <v/>
      </c>
    </row>
    <row r="56" spans="1:1">
      <c r="A56" t="str">
        <f>IF(AMS!A57=0,"",AMS!A57)</f>
        <v/>
      </c>
    </row>
    <row r="57" spans="1:1">
      <c r="A57" t="str">
        <f>IF(AMS!A58=0,"",AMS!A58)</f>
        <v/>
      </c>
    </row>
    <row r="58" spans="1:1">
      <c r="A58" t="str">
        <f>IF(AMS!A59=0,"",AMS!A59)</f>
        <v/>
      </c>
    </row>
    <row r="59" spans="1:1">
      <c r="A59" t="str">
        <f>IF(AMS!A60=0,"",AMS!A60)</f>
        <v/>
      </c>
    </row>
    <row r="60" spans="1:1">
      <c r="A60" t="str">
        <f>IF(AMS!A61=0,"",AMS!A61)</f>
        <v/>
      </c>
    </row>
    <row r="61" spans="1:1">
      <c r="A61" t="str">
        <f>IF(AMS!A62=0,"",AMS!A62)</f>
        <v/>
      </c>
    </row>
    <row r="62" spans="1:1">
      <c r="A62" t="str">
        <f>IF(AMS!A63=0,"",AMS!A63)</f>
        <v/>
      </c>
    </row>
    <row r="63" spans="1:1">
      <c r="A63" t="str">
        <f>IF(AMS!A64=0,"",AMS!A64)</f>
        <v/>
      </c>
    </row>
    <row r="64" spans="1:1">
      <c r="A64" t="str">
        <f>IF(AMS!A65=0,"",AMS!A65)</f>
        <v/>
      </c>
    </row>
    <row r="65" spans="1:1">
      <c r="A65" t="str">
        <f>IF(AMS!A66=0,"",AMS!A66)</f>
        <v/>
      </c>
    </row>
    <row r="66" spans="1:1">
      <c r="A66" t="str">
        <f>IF(AMS!A67=0,"",AMS!A67)</f>
        <v/>
      </c>
    </row>
    <row r="67" spans="1:1">
      <c r="A67" t="str">
        <f>IF(AMS!A68=0,"",AMS!A68)</f>
        <v/>
      </c>
    </row>
    <row r="68" spans="1:1">
      <c r="A68" t="str">
        <f>IF(AMS!A69=0,"",AMS!A69)</f>
        <v/>
      </c>
    </row>
    <row r="69" spans="1:1">
      <c r="A69" t="str">
        <f>IF(AMS!A70=0,"",AMS!A70)</f>
        <v/>
      </c>
    </row>
    <row r="70" spans="1:1">
      <c r="A70" t="str">
        <f>IF(AMS!A71=0,"",AMS!A71)</f>
        <v/>
      </c>
    </row>
    <row r="71" spans="1:1">
      <c r="A71" t="str">
        <f>IF(AMS!A72=0,"",AMS!A72)</f>
        <v/>
      </c>
    </row>
    <row r="72" spans="1:1">
      <c r="A72" t="str">
        <f>IF(AMS!A73=0,"",AMS!A73)</f>
        <v/>
      </c>
    </row>
    <row r="73" spans="1:1">
      <c r="A73" t="str">
        <f>IF(AMS!A74=0,"",AMS!A74)</f>
        <v/>
      </c>
    </row>
    <row r="74" spans="1:1">
      <c r="A74" t="str">
        <f>IF(AMS!A75=0,"",AMS!A75)</f>
        <v/>
      </c>
    </row>
    <row r="75" spans="1:1">
      <c r="A75" t="str">
        <f>IF(AMS!A76=0,"",AMS!A76)</f>
        <v/>
      </c>
    </row>
    <row r="76" spans="1:1">
      <c r="A76" t="str">
        <f>IF(AMS!A77=0,"",AMS!A77)</f>
        <v/>
      </c>
    </row>
    <row r="77" spans="1:1">
      <c r="A77" t="str">
        <f>IF(AMS!A78=0,"",AMS!A78)</f>
        <v/>
      </c>
    </row>
    <row r="78" spans="1:1">
      <c r="A78" t="str">
        <f>IF(AMS!A79=0,"",AMS!A79)</f>
        <v/>
      </c>
    </row>
    <row r="79" spans="1:1">
      <c r="A79" t="str">
        <f>IF(AMS!A80=0,"",AMS!A80)</f>
        <v/>
      </c>
    </row>
    <row r="80" spans="1:1">
      <c r="A80" t="str">
        <f>IF(AMS!A81=0,"",AMS!A81)</f>
        <v/>
      </c>
    </row>
    <row r="81" spans="1:1">
      <c r="A81" t="str">
        <f>IF(AMS!A82=0,"",AMS!A82)</f>
        <v/>
      </c>
    </row>
    <row r="82" spans="1:1">
      <c r="A82" t="str">
        <f>IF(AMS!A83=0,"",AMS!A83)</f>
        <v/>
      </c>
    </row>
    <row r="83" spans="1:1">
      <c r="A83" t="str">
        <f>IF(AMS!A84=0,"",AMS!A84)</f>
        <v/>
      </c>
    </row>
    <row r="84" spans="1:1">
      <c r="A84" t="str">
        <f>IF(AMS!A85=0,"",AMS!A85)</f>
        <v/>
      </c>
    </row>
    <row r="85" spans="1:1">
      <c r="A85" t="str">
        <f>IF(AMS!A86=0,"",AMS!A86)</f>
        <v/>
      </c>
    </row>
    <row r="86" spans="1:1">
      <c r="A86" t="str">
        <f>IF(AMS!A87=0,"",AMS!A87)</f>
        <v/>
      </c>
    </row>
    <row r="87" spans="1:1">
      <c r="A87" t="str">
        <f>IF(AMS!A88=0,"",AMS!A88)</f>
        <v/>
      </c>
    </row>
    <row r="88" spans="1:1">
      <c r="A88" t="str">
        <f>IF(AMS!A89=0,"",AMS!A89)</f>
        <v/>
      </c>
    </row>
    <row r="89" spans="1:1">
      <c r="A89" t="str">
        <f>IF(AMS!A90=0,"",AMS!A90)</f>
        <v/>
      </c>
    </row>
    <row r="90" spans="1:1">
      <c r="A90" t="str">
        <f>IF(AMS!A91=0,"",AMS!A91)</f>
        <v/>
      </c>
    </row>
    <row r="91" spans="1:1">
      <c r="A91" t="str">
        <f>IF(AMS!A92=0,"",AMS!A92)</f>
        <v/>
      </c>
    </row>
    <row r="92" spans="1:1">
      <c r="A92" t="str">
        <f>IF(AMS!A93=0,"",AMS!A93)</f>
        <v/>
      </c>
    </row>
    <row r="93" spans="1:1">
      <c r="A93" t="str">
        <f>IF(AMS!A94=0,"",AMS!A94)</f>
        <v/>
      </c>
    </row>
    <row r="94" spans="1:1">
      <c r="A94" t="str">
        <f>IF(AMS!A95=0,"",AMS!A95)</f>
        <v/>
      </c>
    </row>
    <row r="95" spans="1:1">
      <c r="A95" t="str">
        <f>IF(AMS!A96=0,"",AMS!A96)</f>
        <v/>
      </c>
    </row>
    <row r="96" spans="1:1">
      <c r="A96" t="str">
        <f>IF(AMS!A97=0,"",AMS!A97)</f>
        <v/>
      </c>
    </row>
    <row r="97" spans="1:1">
      <c r="A97" t="str">
        <f>IF(AMS!A98=0,"",AMS!A98)</f>
        <v/>
      </c>
    </row>
    <row r="98" spans="1:1">
      <c r="A98" t="str">
        <f>IF(AMS!A99=0,"",AMS!A99)</f>
        <v/>
      </c>
    </row>
    <row r="99" spans="1:1">
      <c r="A99" t="str">
        <f>IF(AMS!A100=0,"",AMS!A100)</f>
        <v/>
      </c>
    </row>
    <row r="100" spans="1:1">
      <c r="A100" t="str">
        <f>IF(AMS!A101=0,"",AMS!A101)</f>
        <v/>
      </c>
    </row>
    <row r="101" spans="1:1">
      <c r="A101" t="str">
        <f>IF(AMS!A102=0,"",AMS!A102)</f>
        <v/>
      </c>
    </row>
    <row r="102" spans="1:1">
      <c r="A102" t="str">
        <f>IF(AMS!A103=0,"",AMS!A103)</f>
        <v/>
      </c>
    </row>
    <row r="103" spans="1:1">
      <c r="A103" t="str">
        <f>IF(AMS!A104=0,"",AMS!A104)</f>
        <v/>
      </c>
    </row>
    <row r="104" spans="1:1">
      <c r="A104" t="str">
        <f>IF(AMS!A105=0,"",AMS!A105)</f>
        <v/>
      </c>
    </row>
    <row r="105" spans="1:1">
      <c r="A105" t="str">
        <f>IF(AMS!A106=0,"",AMS!A106)</f>
        <v/>
      </c>
    </row>
    <row r="106" spans="1:1">
      <c r="A106" t="str">
        <f>IF(AMS!A107=0,"",AMS!A107)</f>
        <v/>
      </c>
    </row>
    <row r="107" spans="1:1">
      <c r="A107" t="str">
        <f>IF(AMS!A108=0,"",AMS!A108)</f>
        <v/>
      </c>
    </row>
    <row r="108" spans="1:1">
      <c r="A108" t="str">
        <f>IF(AMS!A109=0,"",AMS!A109)</f>
        <v/>
      </c>
    </row>
    <row r="109" spans="1:1">
      <c r="A109" t="str">
        <f>IF(AMS!A110=0,"",AMS!A110)</f>
        <v/>
      </c>
    </row>
    <row r="110" spans="1:1">
      <c r="A110" t="str">
        <f>IF(AMS!A111=0,"",AMS!A111)</f>
        <v/>
      </c>
    </row>
    <row r="111" spans="1:1">
      <c r="A111" t="str">
        <f>IF(AMS!A112=0,"",AMS!A112)</f>
        <v/>
      </c>
    </row>
    <row r="112" spans="1:1">
      <c r="A112" t="str">
        <f>IF(AMS!A113=0,"",AMS!A113)</f>
        <v/>
      </c>
    </row>
    <row r="113" spans="1:1">
      <c r="A113" t="str">
        <f>IF(AMS!A114=0,"",AMS!A114)</f>
        <v/>
      </c>
    </row>
    <row r="114" spans="1:1">
      <c r="A114" t="str">
        <f>IF(AMS!A115=0,"",AMS!A115)</f>
        <v/>
      </c>
    </row>
    <row r="115" spans="1:1">
      <c r="A115" t="str">
        <f>IF(AMS!A116=0,"",AMS!A116)</f>
        <v/>
      </c>
    </row>
    <row r="116" spans="1:1">
      <c r="A116" t="str">
        <f>IF(AMS!A117=0,"",AMS!A117)</f>
        <v/>
      </c>
    </row>
    <row r="117" spans="1:1">
      <c r="A117" t="str">
        <f>IF(AMS!A118=0,"",AMS!A118)</f>
        <v/>
      </c>
    </row>
    <row r="118" spans="1:1">
      <c r="A118" t="str">
        <f>IF(AMS!A119=0,"",AMS!A119)</f>
        <v/>
      </c>
    </row>
    <row r="119" spans="1:1">
      <c r="A119" t="str">
        <f>IF(AMS!A120=0,"",AMS!A120)</f>
        <v/>
      </c>
    </row>
    <row r="120" spans="1:1">
      <c r="A120" t="str">
        <f>IF(AMS!A121=0,"",AMS!A121)</f>
        <v/>
      </c>
    </row>
    <row r="121" spans="1:1">
      <c r="A121" t="str">
        <f>IF(AMS!A122=0,"",AMS!A122)</f>
        <v/>
      </c>
    </row>
    <row r="122" spans="1:1">
      <c r="A122" t="str">
        <f>IF(AMS!A123=0,"",AMS!A123)</f>
        <v/>
      </c>
    </row>
    <row r="123" spans="1:1">
      <c r="A123" t="str">
        <f>IF(AMS!A124=0,"",AMS!A124)</f>
        <v/>
      </c>
    </row>
    <row r="124" spans="1:1">
      <c r="A124" t="str">
        <f>IF(AMS!A125=0,"",AMS!A125)</f>
        <v/>
      </c>
    </row>
    <row r="125" spans="1:1">
      <c r="A125" t="str">
        <f>IF(AMS!A126=0,"",AMS!A126)</f>
        <v/>
      </c>
    </row>
    <row r="126" spans="1:1">
      <c r="A126" t="str">
        <f>IF(AMS!A127=0,"",AMS!A127)</f>
        <v/>
      </c>
    </row>
    <row r="127" spans="1:1">
      <c r="A127" t="str">
        <f>IF(AMS!A128=0,"",AMS!A128)</f>
        <v/>
      </c>
    </row>
    <row r="128" spans="1:1">
      <c r="A128" t="str">
        <f>IF(AMS!A129=0,"",AMS!A129)</f>
        <v/>
      </c>
    </row>
    <row r="129" spans="1:1">
      <c r="A129" t="str">
        <f>IF(AMS!A130=0,"",AMS!A130)</f>
        <v/>
      </c>
    </row>
    <row r="130" spans="1:1">
      <c r="A130" t="str">
        <f>IF(AMS!A131=0,"",AMS!A131)</f>
        <v/>
      </c>
    </row>
    <row r="131" spans="1:1">
      <c r="A131" t="str">
        <f>IF(AMS!A132=0,"",AMS!A132)</f>
        <v/>
      </c>
    </row>
    <row r="132" spans="1:1">
      <c r="A132" t="str">
        <f>IF(AMS!A133=0,"",AMS!A133)</f>
        <v/>
      </c>
    </row>
    <row r="133" spans="1:1">
      <c r="A133" t="str">
        <f>IF(AMS!A134=0,"",AMS!A134)</f>
        <v/>
      </c>
    </row>
    <row r="134" spans="1:1">
      <c r="A134" t="str">
        <f>IF(AMS!A135=0,"",AMS!A135)</f>
        <v/>
      </c>
    </row>
    <row r="135" spans="1:1">
      <c r="A135" t="str">
        <f>IF(AMS!A136=0,"",AMS!A136)</f>
        <v/>
      </c>
    </row>
    <row r="136" spans="1:1">
      <c r="A136" t="str">
        <f>IF(AMS!A137=0,"",AMS!A137)</f>
        <v/>
      </c>
    </row>
    <row r="137" spans="1:1">
      <c r="A137" t="str">
        <f>IF(AMS!A138=0,"",AMS!A138)</f>
        <v/>
      </c>
    </row>
    <row r="138" spans="1:1">
      <c r="A138" t="str">
        <f>IF(AMS!A139=0,"",AMS!A139)</f>
        <v/>
      </c>
    </row>
    <row r="139" spans="1:1">
      <c r="A139" t="str">
        <f>IF(AMS!A140=0,"",AMS!A140)</f>
        <v/>
      </c>
    </row>
    <row r="140" spans="1:1">
      <c r="A140" t="str">
        <f>IF(AMS!A141=0,"",AMS!A141)</f>
        <v/>
      </c>
    </row>
    <row r="141" spans="1:1">
      <c r="A141" t="str">
        <f>IF(AMS!A142=0,"",AMS!A142)</f>
        <v/>
      </c>
    </row>
    <row r="142" spans="1:1">
      <c r="A142" t="str">
        <f>IF(AMS!A143=0,"",AMS!A143)</f>
        <v/>
      </c>
    </row>
    <row r="143" spans="1:1">
      <c r="A143" t="str">
        <f>IF(AMS!A144=0,"",AMS!A144)</f>
        <v/>
      </c>
    </row>
    <row r="144" spans="1:1">
      <c r="A144" t="str">
        <f>IF(AMS!A145=0,"",AMS!A145)</f>
        <v/>
      </c>
    </row>
    <row r="145" spans="1:1">
      <c r="A145" t="str">
        <f>IF(AMS!A146=0,"",AMS!A146)</f>
        <v/>
      </c>
    </row>
    <row r="146" spans="1:1">
      <c r="A146" t="str">
        <f>IF(AMS!A147=0,"",AMS!A147)</f>
        <v/>
      </c>
    </row>
    <row r="147" spans="1:1">
      <c r="A147" t="str">
        <f>IF(AMS!A148=0,"",AMS!A148)</f>
        <v/>
      </c>
    </row>
    <row r="148" spans="1:1">
      <c r="A148" t="str">
        <f>IF(AMS!A149=0,"",AMS!A149)</f>
        <v/>
      </c>
    </row>
    <row r="149" spans="1:1">
      <c r="A149" t="str">
        <f>IF(AMS!A150=0,"",AMS!A150)</f>
        <v/>
      </c>
    </row>
    <row r="150" spans="1:1">
      <c r="A150" t="str">
        <f>IF(AMS!A151=0,"",AMS!A151)</f>
        <v/>
      </c>
    </row>
    <row r="151" spans="1:1">
      <c r="A151" t="str">
        <f>IF(AMS!A152=0,"",AMS!A152)</f>
        <v/>
      </c>
    </row>
    <row r="152" spans="1:1">
      <c r="A152" t="str">
        <f>IF(AMS!A153=0,"",AMS!A153)</f>
        <v/>
      </c>
    </row>
    <row r="153" spans="1:1">
      <c r="A153" t="str">
        <f>IF(AMS!A154=0,"",AMS!A154)</f>
        <v/>
      </c>
    </row>
    <row r="154" spans="1:1">
      <c r="A154" t="str">
        <f>IF(AMS!A155=0,"",AMS!A155)</f>
        <v/>
      </c>
    </row>
    <row r="155" spans="1:1">
      <c r="A155" t="str">
        <f>IF(AMS!A156=0,"",AMS!A156)</f>
        <v/>
      </c>
    </row>
    <row r="156" spans="1:1">
      <c r="A156" t="str">
        <f>IF(AMS!A157=0,"",AMS!A157)</f>
        <v/>
      </c>
    </row>
    <row r="157" spans="1:1">
      <c r="A157" t="str">
        <f>IF(AMS!A158=0,"",AMS!A158)</f>
        <v/>
      </c>
    </row>
    <row r="158" spans="1:1">
      <c r="A158" t="str">
        <f>IF(AMS!A159=0,"",AMS!A159)</f>
        <v/>
      </c>
    </row>
    <row r="159" spans="1:1">
      <c r="A159" t="str">
        <f>IF(AMS!A160=0,"",AMS!A160)</f>
        <v/>
      </c>
    </row>
    <row r="160" spans="1:1">
      <c r="A160" t="str">
        <f>IF(AMS!A161=0,"",AMS!A161)</f>
        <v/>
      </c>
    </row>
    <row r="161" spans="1:1">
      <c r="A161" t="str">
        <f>IF(AMS!A162=0,"",AMS!A162)</f>
        <v/>
      </c>
    </row>
    <row r="162" spans="1:1">
      <c r="A162" t="str">
        <f>IF(AMS!A163=0,"",AMS!A163)</f>
        <v/>
      </c>
    </row>
    <row r="163" spans="1:1">
      <c r="A163" t="str">
        <f>IF(AMS!A164=0,"",AMS!A164)</f>
        <v/>
      </c>
    </row>
    <row r="164" spans="1:1">
      <c r="A164" t="str">
        <f>IF(AMS!A165=0,"",AMS!A165)</f>
        <v/>
      </c>
    </row>
    <row r="165" spans="1:1">
      <c r="A165" t="str">
        <f>IF(AMS!A166=0,"",AMS!A166)</f>
        <v/>
      </c>
    </row>
    <row r="166" spans="1:1">
      <c r="A166" t="str">
        <f>IF(AMS!A167=0,"",AMS!A167)</f>
        <v/>
      </c>
    </row>
    <row r="167" spans="1:1">
      <c r="A167" t="str">
        <f>IF(AMS!A168=0,"",AMS!A168)</f>
        <v/>
      </c>
    </row>
    <row r="168" spans="1:1">
      <c r="A168" t="str">
        <f>IF(AMS!A169=0,"",AMS!A169)</f>
        <v/>
      </c>
    </row>
    <row r="169" spans="1:1">
      <c r="A169" t="str">
        <f>IF(AMS!A170=0,"",AMS!A170)</f>
        <v/>
      </c>
    </row>
    <row r="170" spans="1:1">
      <c r="A170" t="str">
        <f>IF(AMS!A171=0,"",AMS!A171)</f>
        <v/>
      </c>
    </row>
    <row r="171" spans="1:1">
      <c r="A171" t="str">
        <f>IF(AMS!A172=0,"",AMS!A172)</f>
        <v/>
      </c>
    </row>
    <row r="172" spans="1:1">
      <c r="A172" t="str">
        <f>IF(AMS!A173=0,"",AMS!A173)</f>
        <v/>
      </c>
    </row>
    <row r="173" spans="1:1">
      <c r="A173" t="str">
        <f>IF(AMS!A174=0,"",AMS!A174)</f>
        <v/>
      </c>
    </row>
    <row r="174" spans="1:1">
      <c r="A174" t="str">
        <f>IF(AMS!A175=0,"",AMS!A175)</f>
        <v/>
      </c>
    </row>
    <row r="175" spans="1:1">
      <c r="A175" t="str">
        <f>IF(AMS!A176=0,"",AMS!A176)</f>
        <v/>
      </c>
    </row>
    <row r="176" spans="1:1">
      <c r="A176" t="str">
        <f>IF(AMS!A177=0,"",AMS!A177)</f>
        <v/>
      </c>
    </row>
    <row r="177" spans="1:1">
      <c r="A177" t="str">
        <f>IF(AMS!A178=0,"",AMS!A178)</f>
        <v/>
      </c>
    </row>
    <row r="178" spans="1:1">
      <c r="A178" t="str">
        <f>IF(AMS!A179=0,"",AMS!A179)</f>
        <v/>
      </c>
    </row>
    <row r="179" spans="1:1">
      <c r="A179" t="str">
        <f>IF(AMS!A180=0,"",AMS!A180)</f>
        <v/>
      </c>
    </row>
    <row r="180" spans="1:1">
      <c r="A180" t="str">
        <f>IF(AMS!A181=0,"",AMS!A181)</f>
        <v/>
      </c>
    </row>
    <row r="181" spans="1:1">
      <c r="A181" t="str">
        <f>IF(AMS!A182=0,"",AMS!A182)</f>
        <v/>
      </c>
    </row>
    <row r="182" spans="1:1">
      <c r="A182" t="str">
        <f>IF(AMS!A183=0,"",AMS!A183)</f>
        <v/>
      </c>
    </row>
    <row r="183" spans="1:1">
      <c r="A183" t="str">
        <f>IF(AMS!A184=0,"",AMS!A184)</f>
        <v/>
      </c>
    </row>
    <row r="184" spans="1:1">
      <c r="A184" t="str">
        <f>IF(AMS!A185=0,"",AMS!A185)</f>
        <v/>
      </c>
    </row>
    <row r="185" spans="1:1">
      <c r="A185" t="str">
        <f>IF(AMS!A186=0,"",AMS!A186)</f>
        <v/>
      </c>
    </row>
    <row r="186" spans="1:1">
      <c r="A186" t="str">
        <f>IF(AMS!A187=0,"",AMS!A187)</f>
        <v/>
      </c>
    </row>
    <row r="187" spans="1:1">
      <c r="A187" t="str">
        <f>IF(AMS!A188=0,"",AMS!A188)</f>
        <v/>
      </c>
    </row>
    <row r="188" spans="1:1">
      <c r="A188" t="str">
        <f>IF(AMS!A189=0,"",AMS!A189)</f>
        <v/>
      </c>
    </row>
    <row r="189" spans="1:1">
      <c r="A189" t="str">
        <f>IF(AMS!A190=0,"",AMS!A190)</f>
        <v/>
      </c>
    </row>
    <row r="190" spans="1:1">
      <c r="A190" t="str">
        <f>IF(AMS!A191=0,"",AMS!A191)</f>
        <v/>
      </c>
    </row>
    <row r="191" spans="1:1">
      <c r="A191" t="str">
        <f>IF(AMS!A192=0,"",AMS!A192)</f>
        <v/>
      </c>
    </row>
    <row r="192" spans="1:1">
      <c r="A192" t="str">
        <f>IF(AMS!A193=0,"",AMS!A193)</f>
        <v/>
      </c>
    </row>
    <row r="193" spans="1:1">
      <c r="A193" t="str">
        <f>IF(AMS!A194=0,"",AMS!A194)</f>
        <v/>
      </c>
    </row>
    <row r="194" spans="1:1">
      <c r="A194" t="str">
        <f>IF(AMS!A195=0,"",AMS!A195)</f>
        <v/>
      </c>
    </row>
    <row r="195" spans="1:1">
      <c r="A195" t="str">
        <f>IF(AMS!A196=0,"",AMS!A196)</f>
        <v/>
      </c>
    </row>
    <row r="196" spans="1:1">
      <c r="A196" t="str">
        <f>IF(AMS!A197=0,"",AMS!A197)</f>
        <v/>
      </c>
    </row>
    <row r="197" spans="1:1">
      <c r="A197" t="str">
        <f>IF(AMS!A198=0,"",AMS!A198)</f>
        <v/>
      </c>
    </row>
    <row r="198" spans="1:1">
      <c r="A198" t="str">
        <f>IF(AMS!A199=0,"",AMS!A199)</f>
        <v/>
      </c>
    </row>
    <row r="199" spans="1:1">
      <c r="A199" t="str">
        <f>IF(AMS!A200=0,"",AMS!A200)</f>
        <v/>
      </c>
    </row>
    <row r="200" spans="1:1">
      <c r="A200" t="str">
        <f>IF(AMS!A201=0,"",AMS!A201)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S32"/>
  <sheetViews>
    <sheetView workbookViewId="0"/>
  </sheetViews>
  <sheetFormatPr defaultRowHeight="15"/>
  <cols>
    <col min="1" max="16384" width="9.140625" style="24"/>
  </cols>
  <sheetData>
    <row r="1" spans="1:19" ht="15.75" thickBot="1">
      <c r="A1" s="1"/>
      <c r="B1" s="1" t="str">
        <f>I26&amp;" &amp; "&amp;R13</f>
        <v>0 &amp; 0</v>
      </c>
      <c r="C1" s="1"/>
      <c r="D1" s="1"/>
      <c r="E1" s="22"/>
      <c r="F1" s="22"/>
      <c r="G1" s="22"/>
      <c r="H1" s="22"/>
      <c r="I1" s="22"/>
      <c r="J1" s="22"/>
      <c r="K1" s="22"/>
      <c r="L1" s="22"/>
      <c r="M1" s="22"/>
    </row>
    <row r="2" spans="1:19" ht="15.75" thickBot="1">
      <c r="A2" s="25"/>
      <c r="B2" s="1"/>
      <c r="C2" s="1"/>
      <c r="D2" s="1"/>
      <c r="E2" s="1"/>
      <c r="F2" s="1"/>
      <c r="G2" s="22"/>
      <c r="H2" s="22" t="s">
        <v>0</v>
      </c>
      <c r="I2" s="27">
        <f>IF(I32=0,F32,I32)</f>
        <v>0</v>
      </c>
      <c r="J2" s="28"/>
      <c r="K2" s="29"/>
      <c r="L2" s="22"/>
      <c r="M2" s="22"/>
      <c r="N2" s="22"/>
      <c r="O2" s="18"/>
      <c r="P2" s="2"/>
      <c r="Q2" s="22"/>
      <c r="R2" s="22"/>
      <c r="S2" s="22"/>
    </row>
    <row r="3" spans="1:19" ht="15.75" thickBot="1">
      <c r="A3" s="1"/>
      <c r="B3" s="1"/>
      <c r="C3" s="1"/>
      <c r="D3" s="1"/>
      <c r="E3" s="1"/>
      <c r="F3" s="1"/>
      <c r="G3" s="22"/>
      <c r="H3" s="22"/>
      <c r="I3" s="22"/>
      <c r="J3" s="22"/>
      <c r="K3" s="22"/>
      <c r="L3" s="22"/>
      <c r="M3" s="22"/>
      <c r="N3" s="22"/>
      <c r="O3" s="18"/>
      <c r="P3" s="2"/>
      <c r="Q3" s="22"/>
      <c r="R3" s="22"/>
      <c r="S3" s="22"/>
    </row>
    <row r="4" spans="1:19" ht="15.75" thickBot="1">
      <c r="A4" s="1"/>
      <c r="B4" s="1"/>
      <c r="C4" s="1"/>
      <c r="D4" s="1"/>
      <c r="E4" s="1"/>
      <c r="F4" s="1"/>
      <c r="G4" s="22"/>
      <c r="H4" s="22"/>
      <c r="I4" s="22" t="s">
        <v>1</v>
      </c>
      <c r="J4" s="3">
        <f>I31</f>
        <v>0</v>
      </c>
      <c r="K4" s="22"/>
      <c r="L4" s="14"/>
      <c r="M4" s="22"/>
      <c r="N4" s="22"/>
      <c r="O4" s="18"/>
      <c r="P4" s="2"/>
      <c r="Q4" s="22"/>
      <c r="R4" s="22"/>
      <c r="S4" s="22"/>
    </row>
    <row r="5" spans="1:19">
      <c r="A5" s="1"/>
      <c r="B5" s="1"/>
      <c r="C5" s="1"/>
      <c r="D5" s="1"/>
      <c r="E5" s="1"/>
      <c r="F5" s="1"/>
      <c r="G5" s="22"/>
      <c r="H5" s="22"/>
      <c r="I5" s="22"/>
      <c r="J5" s="22"/>
      <c r="K5" s="22"/>
      <c r="L5" s="14"/>
      <c r="M5" s="22"/>
      <c r="N5" s="22"/>
      <c r="O5" s="18"/>
      <c r="P5" s="4"/>
      <c r="Q5" s="5"/>
      <c r="R5" s="2"/>
      <c r="S5" s="22"/>
    </row>
    <row r="6" spans="1:19">
      <c r="A6" s="1"/>
      <c r="B6" s="1"/>
      <c r="C6" s="1"/>
      <c r="D6" s="1"/>
      <c r="E6" s="1"/>
      <c r="F6" s="1"/>
      <c r="H6" s="22" t="s">
        <v>2</v>
      </c>
      <c r="I6" s="6">
        <f>J29</f>
        <v>0</v>
      </c>
      <c r="J6" s="6">
        <f>I29</f>
        <v>0</v>
      </c>
      <c r="K6" s="6">
        <f>H29</f>
        <v>0</v>
      </c>
      <c r="L6" s="7"/>
      <c r="M6" s="22"/>
      <c r="N6" s="22"/>
      <c r="O6" s="5"/>
      <c r="P6" s="14"/>
      <c r="Q6" s="8"/>
      <c r="R6" s="22"/>
      <c r="S6" s="22"/>
    </row>
    <row r="7" spans="1:19">
      <c r="A7" s="1"/>
      <c r="B7" s="1"/>
      <c r="C7" s="1"/>
      <c r="D7" s="1"/>
      <c r="E7" s="1"/>
      <c r="F7" s="1"/>
      <c r="H7" s="22" t="s">
        <v>3</v>
      </c>
      <c r="I7" s="9">
        <f>J30</f>
        <v>0</v>
      </c>
      <c r="J7" s="9">
        <f>I30</f>
        <v>0</v>
      </c>
      <c r="K7" s="9">
        <f>H30</f>
        <v>0</v>
      </c>
      <c r="L7" s="21"/>
      <c r="M7" s="21"/>
      <c r="N7" s="22"/>
      <c r="O7" s="18"/>
      <c r="P7" s="10"/>
      <c r="Q7" s="22"/>
      <c r="R7" s="22"/>
      <c r="S7" s="22"/>
    </row>
    <row r="8" spans="1:19">
      <c r="A8" s="1"/>
      <c r="B8" s="1"/>
      <c r="C8" s="1"/>
      <c r="D8" s="1"/>
      <c r="E8" s="22"/>
      <c r="F8" s="19"/>
      <c r="G8" s="19"/>
      <c r="H8" s="22"/>
      <c r="I8" s="22"/>
      <c r="J8" s="22"/>
      <c r="K8" s="22"/>
      <c r="L8" s="21"/>
      <c r="M8" s="21"/>
      <c r="N8" s="22"/>
      <c r="O8" s="19"/>
      <c r="P8" s="10"/>
      <c r="Q8" s="22"/>
      <c r="R8" s="22"/>
      <c r="S8" s="22"/>
    </row>
    <row r="9" spans="1:19">
      <c r="A9" s="1"/>
      <c r="B9" s="1"/>
      <c r="C9" s="1"/>
      <c r="D9" s="1"/>
      <c r="E9" s="22"/>
      <c r="F9" s="19"/>
      <c r="G9" s="19"/>
      <c r="H9" s="22"/>
      <c r="I9" s="22"/>
      <c r="J9" s="22"/>
      <c r="K9" s="22"/>
      <c r="L9" s="7"/>
      <c r="M9" s="11"/>
      <c r="N9" s="22"/>
      <c r="O9" s="12"/>
      <c r="P9" s="13"/>
      <c r="Q9" s="22"/>
      <c r="R9" s="22"/>
      <c r="S9" s="22"/>
    </row>
    <row r="10" spans="1:19">
      <c r="A10" s="22"/>
      <c r="B10" s="22"/>
      <c r="C10" s="22"/>
      <c r="D10" s="22"/>
      <c r="E10" s="22"/>
      <c r="F10" s="7"/>
      <c r="G10" s="22"/>
      <c r="H10" s="22"/>
      <c r="I10" s="22"/>
      <c r="J10" s="22"/>
      <c r="K10" s="22"/>
      <c r="L10" s="22"/>
      <c r="O10" s="22"/>
      <c r="P10" s="22"/>
      <c r="Q10" s="22"/>
      <c r="R10" s="22"/>
      <c r="S10" s="22"/>
    </row>
    <row r="11" spans="1:19">
      <c r="A11" s="22"/>
      <c r="B11" s="22"/>
      <c r="C11" s="22"/>
      <c r="D11" s="22"/>
      <c r="E11" s="22"/>
      <c r="F11" s="22" t="s">
        <v>2</v>
      </c>
      <c r="G11" s="22" t="s">
        <v>3</v>
      </c>
      <c r="H11" s="22"/>
      <c r="I11" s="22"/>
      <c r="J11" s="22"/>
      <c r="K11" s="22"/>
      <c r="L11" s="22"/>
      <c r="M11" s="22" t="str">
        <f>G11</f>
        <v>Volume</v>
      </c>
      <c r="N11" s="22" t="str">
        <f>F11</f>
        <v>No lanes</v>
      </c>
      <c r="O11" s="22"/>
      <c r="P11" s="22"/>
      <c r="Q11" s="22"/>
      <c r="R11" s="22"/>
      <c r="S11" s="22"/>
    </row>
    <row r="12" spans="1:19" ht="15.75" thickBot="1">
      <c r="A12" s="33" t="s">
        <v>0</v>
      </c>
      <c r="B12" s="33"/>
      <c r="C12" s="22"/>
      <c r="D12" s="22" t="s">
        <v>4</v>
      </c>
      <c r="E12" s="22"/>
      <c r="F12" s="6">
        <f>K29</f>
        <v>0</v>
      </c>
      <c r="G12" s="9">
        <f>K30</f>
        <v>0</v>
      </c>
      <c r="H12" s="22"/>
      <c r="I12" s="22"/>
      <c r="J12" s="22"/>
      <c r="K12" s="22"/>
      <c r="L12" s="22"/>
      <c r="M12" s="9">
        <f>P30</f>
        <v>0</v>
      </c>
      <c r="N12" s="6">
        <f>P29</f>
        <v>0</v>
      </c>
      <c r="O12" s="22"/>
      <c r="P12" s="22" t="s">
        <v>5</v>
      </c>
      <c r="Q12" s="22"/>
      <c r="R12" s="33" t="s">
        <v>0</v>
      </c>
      <c r="S12" s="33"/>
    </row>
    <row r="13" spans="1:19" ht="15.75" thickBot="1">
      <c r="A13" s="27">
        <f>IF(L32=0,O32,L32)</f>
        <v>0</v>
      </c>
      <c r="B13" s="29"/>
      <c r="C13" s="22"/>
      <c r="D13" s="3">
        <f>L31</f>
        <v>0</v>
      </c>
      <c r="E13" s="22"/>
      <c r="F13" s="11"/>
      <c r="G13" s="11"/>
      <c r="H13" s="22"/>
      <c r="I13" s="22"/>
      <c r="J13" s="22"/>
      <c r="K13" s="22"/>
      <c r="L13" s="22"/>
      <c r="M13" s="11"/>
      <c r="N13" s="11"/>
      <c r="O13" s="22"/>
      <c r="P13" s="3">
        <f>O31</f>
        <v>0</v>
      </c>
      <c r="Q13" s="22"/>
      <c r="R13" s="27">
        <f>IF(O32=0,L32,O32)</f>
        <v>0</v>
      </c>
      <c r="S13" s="29"/>
    </row>
    <row r="14" spans="1:19">
      <c r="A14" s="22"/>
      <c r="B14" s="22"/>
      <c r="C14" s="22"/>
      <c r="D14" s="22"/>
      <c r="E14" s="22"/>
      <c r="F14" s="6">
        <f>L29</f>
        <v>0</v>
      </c>
      <c r="G14" s="9">
        <f>L30</f>
        <v>0</v>
      </c>
      <c r="H14" s="22"/>
      <c r="I14" s="22"/>
      <c r="J14" s="22"/>
      <c r="K14" s="22"/>
      <c r="L14" s="22"/>
      <c r="M14" s="9">
        <f>O30</f>
        <v>0</v>
      </c>
      <c r="N14" s="6">
        <f>O29</f>
        <v>0</v>
      </c>
      <c r="O14" s="22"/>
      <c r="P14" s="22"/>
      <c r="Q14" s="22"/>
      <c r="R14" s="22"/>
      <c r="S14" s="22"/>
    </row>
    <row r="15" spans="1:19">
      <c r="A15" s="22"/>
      <c r="B15" s="22"/>
      <c r="C15" s="22"/>
      <c r="D15" s="14"/>
      <c r="E15" s="22"/>
      <c r="F15" s="11"/>
      <c r="G15" s="11"/>
      <c r="H15" s="22"/>
      <c r="I15" s="22"/>
      <c r="J15" s="22"/>
      <c r="K15" s="22"/>
      <c r="L15" s="22"/>
      <c r="M15" s="11"/>
      <c r="N15" s="11"/>
      <c r="O15" s="22"/>
      <c r="P15" s="14"/>
      <c r="Q15" s="22"/>
      <c r="R15" s="22"/>
      <c r="S15" s="22"/>
    </row>
    <row r="16" spans="1:19">
      <c r="A16" s="22"/>
      <c r="B16" s="22"/>
      <c r="C16" s="22"/>
      <c r="D16" s="14"/>
      <c r="E16" s="22"/>
      <c r="F16" s="6">
        <f>M29</f>
        <v>0</v>
      </c>
      <c r="G16" s="9">
        <f>M30</f>
        <v>0</v>
      </c>
      <c r="H16" s="22"/>
      <c r="I16" s="22"/>
      <c r="J16" s="22"/>
      <c r="K16" s="22"/>
      <c r="L16" s="22"/>
      <c r="M16" s="9">
        <f>N30</f>
        <v>0</v>
      </c>
      <c r="N16" s="6">
        <f>N29</f>
        <v>0</v>
      </c>
      <c r="O16" s="22"/>
      <c r="P16" s="14"/>
      <c r="Q16" s="22"/>
      <c r="R16" s="22"/>
      <c r="S16" s="22"/>
    </row>
    <row r="17" spans="1:19">
      <c r="A17" s="22"/>
      <c r="B17" s="22"/>
      <c r="C17" s="22"/>
      <c r="D17" s="22"/>
      <c r="E17" s="22"/>
      <c r="F17" s="14"/>
      <c r="G17" s="14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</row>
    <row r="18" spans="1:19">
      <c r="A18" s="22"/>
      <c r="B18" s="22"/>
      <c r="C18" s="22"/>
      <c r="D18" s="7"/>
      <c r="E18" s="22"/>
      <c r="F18" s="22"/>
      <c r="G18" s="22"/>
      <c r="H18" s="22"/>
      <c r="I18" s="22"/>
      <c r="J18" s="22"/>
      <c r="K18" s="22"/>
      <c r="L18" s="22"/>
      <c r="M18" s="23"/>
      <c r="N18" s="23"/>
      <c r="O18" s="22"/>
      <c r="P18" s="7"/>
      <c r="Q18" s="22"/>
      <c r="R18" s="22"/>
      <c r="S18" s="22"/>
    </row>
    <row r="19" spans="1:19">
      <c r="A19" s="22"/>
      <c r="B19" s="14"/>
      <c r="C19" s="14"/>
      <c r="D19" s="14"/>
      <c r="E19" s="14"/>
      <c r="F19" s="22"/>
      <c r="G19" s="22"/>
      <c r="H19" s="22"/>
      <c r="I19" s="22"/>
      <c r="J19" s="22"/>
      <c r="K19" s="22"/>
      <c r="L19" s="22"/>
      <c r="M19" s="21"/>
      <c r="N19" s="21"/>
      <c r="O19" s="22"/>
      <c r="P19" s="22"/>
      <c r="Q19" s="22"/>
      <c r="R19" s="22"/>
      <c r="S19" s="22"/>
    </row>
    <row r="20" spans="1:19">
      <c r="A20" s="22"/>
      <c r="B20" s="16"/>
      <c r="C20" s="16"/>
      <c r="D20" s="16"/>
      <c r="E20" s="16"/>
      <c r="F20" s="22"/>
      <c r="G20" s="22"/>
      <c r="H20" s="22"/>
      <c r="I20" s="22"/>
      <c r="J20" s="22"/>
      <c r="K20" s="22"/>
      <c r="L20" s="22"/>
      <c r="M20" s="7"/>
      <c r="N20" s="22"/>
      <c r="O20" s="14"/>
      <c r="P20" s="14"/>
      <c r="Q20" s="22"/>
      <c r="R20" s="22"/>
      <c r="S20" s="22"/>
    </row>
    <row r="21" spans="1:19">
      <c r="A21" s="22"/>
      <c r="B21" s="17"/>
      <c r="C21" s="17"/>
      <c r="D21" s="17"/>
      <c r="E21" s="17"/>
      <c r="F21" s="22"/>
      <c r="G21" s="22"/>
      <c r="H21" s="22" t="str">
        <f>H7</f>
        <v>Volume</v>
      </c>
      <c r="I21" s="9">
        <f>E30</f>
        <v>0</v>
      </c>
      <c r="J21" s="9">
        <f t="shared" ref="J21:K21" si="0">F30</f>
        <v>0</v>
      </c>
      <c r="K21" s="9">
        <f t="shared" si="0"/>
        <v>0</v>
      </c>
      <c r="L21" s="14"/>
      <c r="M21" s="14"/>
      <c r="N21" s="22"/>
      <c r="O21" s="14"/>
      <c r="P21" s="14"/>
      <c r="Q21" s="22"/>
      <c r="R21" s="22"/>
      <c r="S21" s="22"/>
    </row>
    <row r="22" spans="1:19">
      <c r="A22" s="22"/>
      <c r="B22" s="22"/>
      <c r="C22" s="22"/>
      <c r="D22" s="22"/>
      <c r="E22" s="22"/>
      <c r="F22" s="22"/>
      <c r="G22" s="22"/>
      <c r="H22" s="22" t="str">
        <f>H6</f>
        <v>No lanes</v>
      </c>
      <c r="I22" s="6">
        <f>E29</f>
        <v>0</v>
      </c>
      <c r="J22" s="6">
        <f t="shared" ref="J22:K22" si="1">F29</f>
        <v>0</v>
      </c>
      <c r="K22" s="6">
        <f t="shared" si="1"/>
        <v>0</v>
      </c>
      <c r="L22" s="14"/>
      <c r="M22" s="14"/>
      <c r="N22" s="22"/>
      <c r="O22" s="15"/>
      <c r="P22" s="15"/>
      <c r="Q22" s="22"/>
      <c r="R22" s="22"/>
      <c r="S22" s="22"/>
    </row>
    <row r="23" spans="1:19" ht="15.75" thickBot="1">
      <c r="A23" s="22"/>
      <c r="B23" s="22"/>
      <c r="C23" s="22"/>
      <c r="D23" s="22"/>
      <c r="E23" s="22"/>
      <c r="F23" s="19"/>
      <c r="G23" s="19"/>
      <c r="H23" s="22"/>
      <c r="I23" s="22"/>
      <c r="J23" s="22"/>
      <c r="K23" s="22"/>
      <c r="L23" s="22"/>
      <c r="M23" s="20"/>
      <c r="N23" s="22"/>
      <c r="O23" s="15"/>
      <c r="P23" s="15"/>
      <c r="Q23" s="22"/>
      <c r="R23" s="22"/>
      <c r="S23" s="22"/>
    </row>
    <row r="24" spans="1:19" ht="15.75" thickBot="1">
      <c r="A24" s="22"/>
      <c r="B24" s="22"/>
      <c r="C24" s="22"/>
      <c r="D24" s="22"/>
      <c r="E24" s="22"/>
      <c r="F24" s="19"/>
      <c r="G24" s="19"/>
      <c r="H24" s="22"/>
      <c r="I24" s="22" t="s">
        <v>6</v>
      </c>
      <c r="J24" s="3">
        <f>F31</f>
        <v>0</v>
      </c>
      <c r="K24" s="22"/>
      <c r="L24" s="22"/>
      <c r="M24" s="7"/>
      <c r="N24" s="22"/>
      <c r="O24" s="15"/>
      <c r="P24" s="15"/>
      <c r="Q24" s="22"/>
      <c r="R24" s="22"/>
      <c r="S24" s="22"/>
    </row>
    <row r="25" spans="1:19" ht="15.75" thickBot="1">
      <c r="A25" s="22"/>
      <c r="B25" s="22"/>
      <c r="C25" s="22"/>
      <c r="D25" s="22"/>
      <c r="E25" s="22"/>
      <c r="F25" s="7"/>
      <c r="G25" s="22"/>
      <c r="H25" s="22"/>
      <c r="I25" s="22"/>
      <c r="J25" s="22"/>
      <c r="K25" s="22"/>
      <c r="L25" s="22"/>
      <c r="M25" s="22"/>
      <c r="N25" s="22"/>
      <c r="O25" s="15"/>
      <c r="P25" s="15"/>
      <c r="Q25" s="22"/>
      <c r="R25" s="22"/>
      <c r="S25" s="22"/>
    </row>
    <row r="26" spans="1:19" ht="15.75" thickBot="1">
      <c r="A26" s="22"/>
      <c r="B26" s="22"/>
      <c r="C26" s="22"/>
      <c r="D26" s="22"/>
      <c r="E26" s="22"/>
      <c r="F26" s="22"/>
      <c r="G26" s="22"/>
      <c r="H26" s="22" t="s">
        <v>0</v>
      </c>
      <c r="I26" s="27">
        <f>IF(F32=0,I32,F32)</f>
        <v>0</v>
      </c>
      <c r="J26" s="28"/>
      <c r="K26" s="29"/>
      <c r="L26" s="22"/>
      <c r="M26" s="22"/>
      <c r="N26" s="22"/>
      <c r="O26" s="15"/>
      <c r="P26" s="15"/>
      <c r="Q26" s="22"/>
      <c r="R26" s="22"/>
      <c r="S26" s="22"/>
    </row>
    <row r="28" spans="1:19">
      <c r="E28" s="26" t="s">
        <v>7</v>
      </c>
      <c r="F28" s="26" t="s">
        <v>8</v>
      </c>
      <c r="G28" s="26" t="s">
        <v>9</v>
      </c>
      <c r="H28" s="26" t="s">
        <v>10</v>
      </c>
      <c r="I28" s="26" t="s">
        <v>11</v>
      </c>
      <c r="J28" s="26" t="s">
        <v>12</v>
      </c>
      <c r="K28" s="26" t="s">
        <v>13</v>
      </c>
      <c r="L28" s="26" t="s">
        <v>14</v>
      </c>
      <c r="M28" s="26" t="s">
        <v>15</v>
      </c>
      <c r="N28" s="26" t="s">
        <v>16</v>
      </c>
      <c r="O28" s="26" t="s">
        <v>17</v>
      </c>
      <c r="P28" s="26" t="s">
        <v>18</v>
      </c>
    </row>
    <row r="29" spans="1:19">
      <c r="D29" s="24" t="s">
        <v>19</v>
      </c>
    </row>
    <row r="30" spans="1:19">
      <c r="D30" s="24" t="s">
        <v>3</v>
      </c>
    </row>
    <row r="31" spans="1:19">
      <c r="D31" s="24" t="s">
        <v>20</v>
      </c>
    </row>
    <row r="32" spans="1:19">
      <c r="D32" s="24" t="s">
        <v>21</v>
      </c>
    </row>
  </sheetData>
  <mergeCells count="2">
    <mergeCell ref="A12:B12"/>
    <mergeCell ref="R12:S12"/>
  </mergeCells>
  <conditionalFormatting sqref="P8:P9">
    <cfRule type="containsText" dxfId="15" priority="3" stopIfTrue="1" operator="containsText" text="CS/RS">
      <formula>NOT(ISERROR(SEARCH("CS/RS",P8)))</formula>
    </cfRule>
    <cfRule type="containsText" dxfId="14" priority="4" stopIfTrue="1" operator="containsText" text="Webster">
      <formula>NOT(ISERROR(SEARCH("Webster",P8)))</formula>
    </cfRule>
  </conditionalFormatting>
  <conditionalFormatting sqref="F8:G8 F23:G23 L7:M7 M18:N18">
    <cfRule type="containsText" dxfId="13" priority="2" stopIfTrue="1" operator="containsText" text="LT">
      <formula>NOT(ISERROR(SEARCH("LT",F7)))</formula>
    </cfRule>
  </conditionalFormatting>
  <conditionalFormatting sqref="F9:G9 F24:G24 M19:N19 L8:M8">
    <cfRule type="containsText" dxfId="12" priority="1" stopIfTrue="1" operator="containsText" text="P">
      <formula>NOT(ISERROR(SEARCH("P",F8)))</formula>
    </cfRule>
  </conditionalFormatting>
  <dataValidations count="2">
    <dataValidation type="list" allowBlank="1" showInputMessage="1" showErrorMessage="1" sqref="P6">
      <formula1>$U$17:$U$18</formula1>
    </dataValidation>
    <dataValidation type="list" allowBlank="1" showInputMessage="1" showErrorMessage="1" sqref="M22 B21 D16 L5">
      <formula1>$U$10:$V$10</formula1>
    </dataValidation>
  </dataValidations>
  <pageMargins left="0.7" right="0.7" top="0.75" bottom="0.75" header="0.3" footer="0.3"/>
  <pageSetup paperSize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W4"/>
  <sheetViews>
    <sheetView workbookViewId="0">
      <selection sqref="A1:XFD1048576"/>
    </sheetView>
  </sheetViews>
  <sheetFormatPr defaultRowHeight="15"/>
  <sheetData>
    <row r="1" spans="1:49">
      <c r="A1" t="s">
        <v>25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  <c r="X1" t="s">
        <v>17</v>
      </c>
      <c r="Y1" t="s">
        <v>18</v>
      </c>
      <c r="Z1" t="s">
        <v>7</v>
      </c>
      <c r="AA1" t="s">
        <v>8</v>
      </c>
      <c r="AB1" t="s">
        <v>9</v>
      </c>
      <c r="AC1" t="s">
        <v>10</v>
      </c>
      <c r="AD1" t="s">
        <v>11</v>
      </c>
      <c r="AE1" t="s">
        <v>12</v>
      </c>
      <c r="AF1" t="s">
        <v>13</v>
      </c>
      <c r="AG1" t="s">
        <v>14</v>
      </c>
      <c r="AH1" t="s">
        <v>15</v>
      </c>
      <c r="AI1" t="s">
        <v>16</v>
      </c>
      <c r="AJ1" t="s">
        <v>17</v>
      </c>
      <c r="AK1" t="s">
        <v>18</v>
      </c>
      <c r="AL1" t="s">
        <v>7</v>
      </c>
      <c r="AM1" t="s">
        <v>8</v>
      </c>
      <c r="AN1" t="s">
        <v>9</v>
      </c>
      <c r="AO1" t="s">
        <v>10</v>
      </c>
      <c r="AP1" t="s">
        <v>11</v>
      </c>
      <c r="AQ1" t="s">
        <v>12</v>
      </c>
      <c r="AR1" t="s">
        <v>13</v>
      </c>
      <c r="AS1" t="s">
        <v>14</v>
      </c>
      <c r="AT1" t="s">
        <v>15</v>
      </c>
      <c r="AU1" t="s">
        <v>16</v>
      </c>
      <c r="AV1" t="s">
        <v>17</v>
      </c>
      <c r="AW1" t="s">
        <v>18</v>
      </c>
    </row>
    <row r="2" spans="1:49">
      <c r="A2">
        <v>4022</v>
      </c>
      <c r="B2">
        <v>1</v>
      </c>
      <c r="C2">
        <v>3</v>
      </c>
      <c r="D2">
        <v>1</v>
      </c>
      <c r="E2">
        <v>1</v>
      </c>
      <c r="F2">
        <v>3</v>
      </c>
      <c r="G2">
        <v>1</v>
      </c>
      <c r="H2">
        <v>1</v>
      </c>
      <c r="I2">
        <v>2</v>
      </c>
      <c r="J2">
        <v>1</v>
      </c>
      <c r="K2">
        <v>1</v>
      </c>
      <c r="L2">
        <v>2</v>
      </c>
      <c r="M2">
        <v>1</v>
      </c>
      <c r="N2">
        <v>193</v>
      </c>
      <c r="O2">
        <v>845</v>
      </c>
      <c r="P2">
        <v>63</v>
      </c>
      <c r="Q2">
        <v>73</v>
      </c>
      <c r="R2">
        <v>2387</v>
      </c>
      <c r="S2">
        <v>204</v>
      </c>
      <c r="T2">
        <v>93</v>
      </c>
      <c r="U2">
        <v>170</v>
      </c>
      <c r="V2">
        <v>213</v>
      </c>
      <c r="W2">
        <v>651</v>
      </c>
      <c r="X2">
        <v>482</v>
      </c>
      <c r="Y2">
        <v>42</v>
      </c>
      <c r="Z2">
        <v>40</v>
      </c>
      <c r="AA2">
        <v>40</v>
      </c>
      <c r="AB2">
        <v>40</v>
      </c>
      <c r="AC2">
        <v>40</v>
      </c>
      <c r="AD2">
        <v>40</v>
      </c>
      <c r="AE2">
        <v>40</v>
      </c>
      <c r="AF2">
        <v>40</v>
      </c>
      <c r="AG2">
        <v>35</v>
      </c>
      <c r="AH2">
        <v>40</v>
      </c>
      <c r="AI2">
        <v>40</v>
      </c>
      <c r="AJ2">
        <v>35</v>
      </c>
      <c r="AK2">
        <v>40</v>
      </c>
      <c r="AL2" t="s">
        <v>26</v>
      </c>
      <c r="AM2" t="s">
        <v>26</v>
      </c>
      <c r="AN2" t="s">
        <v>26</v>
      </c>
      <c r="AO2" t="s">
        <v>27</v>
      </c>
      <c r="AP2" t="s">
        <v>27</v>
      </c>
      <c r="AQ2" t="s">
        <v>27</v>
      </c>
      <c r="AR2" t="s">
        <v>28</v>
      </c>
      <c r="AS2" t="s">
        <v>28</v>
      </c>
      <c r="AT2" t="s">
        <v>28</v>
      </c>
      <c r="AU2" t="s">
        <v>28</v>
      </c>
      <c r="AV2" t="s">
        <v>28</v>
      </c>
      <c r="AW2" t="s">
        <v>28</v>
      </c>
    </row>
    <row r="3" spans="1:49">
      <c r="A3">
        <v>4031</v>
      </c>
      <c r="B3">
        <v>1</v>
      </c>
      <c r="C3">
        <v>3</v>
      </c>
      <c r="D3">
        <v>1</v>
      </c>
      <c r="E3">
        <v>1</v>
      </c>
      <c r="F3">
        <v>3</v>
      </c>
      <c r="G3">
        <v>1</v>
      </c>
      <c r="H3">
        <v>1</v>
      </c>
      <c r="I3">
        <v>2</v>
      </c>
      <c r="J3">
        <v>1</v>
      </c>
      <c r="K3">
        <v>1</v>
      </c>
      <c r="L3">
        <v>3</v>
      </c>
      <c r="M3">
        <v>1</v>
      </c>
      <c r="N3">
        <v>15</v>
      </c>
      <c r="O3">
        <v>738</v>
      </c>
      <c r="P3">
        <v>141</v>
      </c>
      <c r="Q3">
        <v>124</v>
      </c>
      <c r="R3">
        <v>1422</v>
      </c>
      <c r="S3">
        <v>23</v>
      </c>
      <c r="T3">
        <v>28</v>
      </c>
      <c r="U3">
        <v>0</v>
      </c>
      <c r="V3">
        <v>97</v>
      </c>
      <c r="W3">
        <v>803</v>
      </c>
      <c r="X3">
        <v>1</v>
      </c>
      <c r="Y3">
        <v>560</v>
      </c>
      <c r="Z3">
        <v>40</v>
      </c>
      <c r="AA3">
        <v>40</v>
      </c>
      <c r="AB3">
        <v>40</v>
      </c>
      <c r="AC3">
        <v>40</v>
      </c>
      <c r="AD3">
        <v>40</v>
      </c>
      <c r="AE3">
        <v>40</v>
      </c>
      <c r="AF3">
        <v>40</v>
      </c>
      <c r="AG3">
        <v>25</v>
      </c>
      <c r="AH3">
        <v>40</v>
      </c>
      <c r="AI3">
        <v>40</v>
      </c>
      <c r="AJ3">
        <v>30</v>
      </c>
      <c r="AK3">
        <v>40</v>
      </c>
      <c r="AL3" t="s">
        <v>27</v>
      </c>
      <c r="AM3" t="s">
        <v>27</v>
      </c>
      <c r="AN3" t="s">
        <v>27</v>
      </c>
      <c r="AO3" t="s">
        <v>27</v>
      </c>
      <c r="AP3" t="s">
        <v>27</v>
      </c>
      <c r="AQ3" t="s">
        <v>27</v>
      </c>
      <c r="AR3" t="s">
        <v>29</v>
      </c>
      <c r="AS3" t="s">
        <v>29</v>
      </c>
      <c r="AT3" t="s">
        <v>29</v>
      </c>
      <c r="AU3" t="s">
        <v>29</v>
      </c>
      <c r="AV3" t="s">
        <v>29</v>
      </c>
      <c r="AW3" t="s">
        <v>29</v>
      </c>
    </row>
    <row r="4" spans="1:49">
      <c r="A4">
        <v>4032</v>
      </c>
      <c r="B4">
        <v>1</v>
      </c>
      <c r="C4">
        <v>1</v>
      </c>
      <c r="D4">
        <v>1</v>
      </c>
      <c r="E4">
        <v>1</v>
      </c>
      <c r="F4">
        <v>2</v>
      </c>
      <c r="G4">
        <v>1</v>
      </c>
      <c r="H4">
        <v>1</v>
      </c>
      <c r="I4">
        <v>3</v>
      </c>
      <c r="J4">
        <v>1</v>
      </c>
      <c r="K4">
        <v>1</v>
      </c>
      <c r="L4">
        <v>3</v>
      </c>
      <c r="M4">
        <v>1</v>
      </c>
      <c r="N4">
        <v>114</v>
      </c>
      <c r="O4">
        <v>0</v>
      </c>
      <c r="P4">
        <v>148</v>
      </c>
      <c r="Q4">
        <v>1078</v>
      </c>
      <c r="R4">
        <v>0</v>
      </c>
      <c r="S4">
        <v>280</v>
      </c>
      <c r="T4">
        <v>70</v>
      </c>
      <c r="U4">
        <v>614</v>
      </c>
      <c r="V4">
        <v>16</v>
      </c>
      <c r="W4">
        <v>27</v>
      </c>
      <c r="X4">
        <v>723</v>
      </c>
      <c r="Y4">
        <v>132</v>
      </c>
      <c r="Z4">
        <v>40</v>
      </c>
      <c r="AA4">
        <v>25</v>
      </c>
      <c r="AB4">
        <v>40</v>
      </c>
      <c r="AC4">
        <v>40</v>
      </c>
      <c r="AD4">
        <v>35</v>
      </c>
      <c r="AE4">
        <v>40</v>
      </c>
      <c r="AF4">
        <v>40</v>
      </c>
      <c r="AG4">
        <v>40</v>
      </c>
      <c r="AH4">
        <v>40</v>
      </c>
      <c r="AI4">
        <v>40</v>
      </c>
      <c r="AJ4">
        <v>40</v>
      </c>
      <c r="AK4">
        <v>40</v>
      </c>
      <c r="AL4" t="s">
        <v>30</v>
      </c>
      <c r="AM4" t="s">
        <v>30</v>
      </c>
      <c r="AN4" t="s">
        <v>30</v>
      </c>
      <c r="AO4" t="s">
        <v>31</v>
      </c>
      <c r="AP4" t="s">
        <v>31</v>
      </c>
      <c r="AQ4" t="s">
        <v>31</v>
      </c>
      <c r="AR4" t="s">
        <v>32</v>
      </c>
      <c r="AS4" t="s">
        <v>32</v>
      </c>
      <c r="AT4" t="s">
        <v>32</v>
      </c>
      <c r="AU4" t="s">
        <v>27</v>
      </c>
      <c r="AV4" t="s">
        <v>27</v>
      </c>
      <c r="AW4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4022</vt:lpstr>
      <vt:lpstr>4031</vt:lpstr>
      <vt:lpstr>4032</vt:lpstr>
      <vt:lpstr>ControlSheet</vt:lpstr>
      <vt:lpstr>Sheets</vt:lpstr>
      <vt:lpstr>Template</vt:lpstr>
      <vt:lpstr>AMS</vt:lpstr>
      <vt:lpstr>QEM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Milan</dc:creator>
  <cp:lastModifiedBy>Zhou</cp:lastModifiedBy>
  <dcterms:created xsi:type="dcterms:W3CDTF">2013-03-12T17:08:08Z</dcterms:created>
  <dcterms:modified xsi:type="dcterms:W3CDTF">2013-04-19T21:43:21Z</dcterms:modified>
</cp:coreProperties>
</file>